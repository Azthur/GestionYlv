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Gestionyelave\"/>
    </mc:Choice>
  </mc:AlternateContent>
  <xr:revisionPtr revIDLastSave="0" documentId="13_ncr:1_{DE583B3D-45A0-4EF9-8ABA-33FCAC651FE5}" xr6:coauthVersionLast="47" xr6:coauthVersionMax="47" xr10:uidLastSave="{00000000-0000-0000-0000-000000000000}"/>
  <bookViews>
    <workbookView xWindow="-120" yWindow="-120" windowWidth="29040" windowHeight="15720" activeTab="3" xr2:uid="{E81A7CF9-2095-4EF6-AB6F-7CEBB74F0AC8}"/>
  </bookViews>
  <sheets>
    <sheet name="YLV" sheetId="1" r:id="rId1"/>
    <sheet name="YLV-zipay" sheetId="2" r:id="rId2"/>
    <sheet name="BOTICA" sheetId="3" r:id="rId3"/>
    <sheet name="Izpay - Botica" sheetId="4" r:id="rId4"/>
    <sheet name="Cla" sheetId="5" r:id="rId5"/>
  </sheets>
  <definedNames>
    <definedName name="_xlnm._FilterDatabase" localSheetId="3" hidden="1">'Izpay - Botica'!$A$3:$M$290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2" i="4" l="1"/>
  <c r="C122" i="4"/>
  <c r="D122" i="4"/>
  <c r="F122" i="4"/>
  <c r="G122" i="4"/>
  <c r="H122" i="4"/>
  <c r="I122" i="4"/>
  <c r="K122" i="4"/>
  <c r="L122" i="4" s="1"/>
  <c r="B123" i="4"/>
  <c r="C123" i="4"/>
  <c r="L123" i="4" s="1"/>
  <c r="D123" i="4"/>
  <c r="F123" i="4"/>
  <c r="G123" i="4"/>
  <c r="H123" i="4"/>
  <c r="I123" i="4"/>
  <c r="K123" i="4"/>
  <c r="B124" i="4"/>
  <c r="C124" i="4"/>
  <c r="D124" i="4"/>
  <c r="F124" i="4"/>
  <c r="G124" i="4"/>
  <c r="K124" i="4" s="1"/>
  <c r="L124" i="4" s="1"/>
  <c r="H124" i="4"/>
  <c r="I124" i="4"/>
  <c r="B125" i="4"/>
  <c r="C125" i="4"/>
  <c r="D125" i="4"/>
  <c r="F125" i="4"/>
  <c r="G125" i="4"/>
  <c r="H125" i="4"/>
  <c r="I125" i="4"/>
  <c r="K125" i="4"/>
  <c r="L125" i="4" s="1"/>
  <c r="B126" i="4"/>
  <c r="C126" i="4"/>
  <c r="D126" i="4"/>
  <c r="F126" i="4"/>
  <c r="G126" i="4"/>
  <c r="H126" i="4"/>
  <c r="I126" i="4"/>
  <c r="K126" i="4"/>
  <c r="L126" i="4"/>
  <c r="B127" i="4"/>
  <c r="C127" i="4"/>
  <c r="D127" i="4"/>
  <c r="F127" i="4"/>
  <c r="G127" i="4"/>
  <c r="H127" i="4"/>
  <c r="I127" i="4"/>
  <c r="K127" i="4"/>
  <c r="B128" i="4"/>
  <c r="C128" i="4"/>
  <c r="D128" i="4"/>
  <c r="F128" i="4"/>
  <c r="G128" i="4"/>
  <c r="K128" i="4" s="1"/>
  <c r="L128" i="4" s="1"/>
  <c r="H128" i="4"/>
  <c r="I128" i="4"/>
  <c r="B129" i="4"/>
  <c r="C129" i="4"/>
  <c r="D129" i="4"/>
  <c r="F129" i="4"/>
  <c r="G129" i="4"/>
  <c r="H129" i="4"/>
  <c r="I129" i="4"/>
  <c r="K129" i="4"/>
  <c r="L129" i="4" s="1"/>
  <c r="B130" i="4"/>
  <c r="C130" i="4"/>
  <c r="D130" i="4"/>
  <c r="F130" i="4"/>
  <c r="G130" i="4"/>
  <c r="H130" i="4"/>
  <c r="I130" i="4"/>
  <c r="K130" i="4"/>
  <c r="L130" i="4" s="1"/>
  <c r="B131" i="4"/>
  <c r="C131" i="4"/>
  <c r="D131" i="4"/>
  <c r="F131" i="4"/>
  <c r="G131" i="4"/>
  <c r="H131" i="4"/>
  <c r="I131" i="4"/>
  <c r="K131" i="4"/>
  <c r="L131" i="4" s="1"/>
  <c r="B132" i="4"/>
  <c r="C132" i="4"/>
  <c r="D132" i="4"/>
  <c r="F132" i="4"/>
  <c r="G132" i="4"/>
  <c r="K132" i="4" s="1"/>
  <c r="L132" i="4" s="1"/>
  <c r="H132" i="4"/>
  <c r="I132" i="4"/>
  <c r="B133" i="4"/>
  <c r="C133" i="4"/>
  <c r="D133" i="4"/>
  <c r="F133" i="4"/>
  <c r="G133" i="4"/>
  <c r="H133" i="4"/>
  <c r="I133" i="4"/>
  <c r="K133" i="4"/>
  <c r="L133" i="4" s="1"/>
  <c r="B134" i="4"/>
  <c r="C134" i="4"/>
  <c r="D134" i="4"/>
  <c r="F134" i="4"/>
  <c r="G134" i="4"/>
  <c r="H134" i="4"/>
  <c r="I134" i="4"/>
  <c r="K134" i="4"/>
  <c r="L134" i="4"/>
  <c r="B135" i="4"/>
  <c r="C135" i="4"/>
  <c r="D135" i="4"/>
  <c r="F135" i="4"/>
  <c r="G135" i="4"/>
  <c r="H135" i="4"/>
  <c r="I135" i="4"/>
  <c r="K135" i="4"/>
  <c r="L135" i="4" s="1"/>
  <c r="B136" i="4"/>
  <c r="C136" i="4"/>
  <c r="D136" i="4"/>
  <c r="F136" i="4"/>
  <c r="G136" i="4"/>
  <c r="K136" i="4" s="1"/>
  <c r="L136" i="4" s="1"/>
  <c r="H136" i="4"/>
  <c r="I136" i="4"/>
  <c r="B137" i="4"/>
  <c r="C137" i="4"/>
  <c r="D137" i="4"/>
  <c r="F137" i="4"/>
  <c r="G137" i="4"/>
  <c r="H137" i="4"/>
  <c r="I137" i="4"/>
  <c r="K137" i="4"/>
  <c r="L137" i="4" s="1"/>
  <c r="B138" i="4"/>
  <c r="C138" i="4"/>
  <c r="D138" i="4"/>
  <c r="F138" i="4"/>
  <c r="G138" i="4"/>
  <c r="H138" i="4"/>
  <c r="I138" i="4"/>
  <c r="K138" i="4"/>
  <c r="L138" i="4"/>
  <c r="B139" i="4"/>
  <c r="C139" i="4"/>
  <c r="D139" i="4"/>
  <c r="F139" i="4"/>
  <c r="G139" i="4"/>
  <c r="H139" i="4"/>
  <c r="I139" i="4"/>
  <c r="K139" i="4"/>
  <c r="L139" i="4" s="1"/>
  <c r="B140" i="4"/>
  <c r="C140" i="4"/>
  <c r="D140" i="4"/>
  <c r="F140" i="4"/>
  <c r="G140" i="4"/>
  <c r="K140" i="4" s="1"/>
  <c r="L140" i="4" s="1"/>
  <c r="H140" i="4"/>
  <c r="I140" i="4"/>
  <c r="B141" i="4"/>
  <c r="C141" i="4"/>
  <c r="D141" i="4"/>
  <c r="F141" i="4"/>
  <c r="G141" i="4"/>
  <c r="H141" i="4"/>
  <c r="I141" i="4"/>
  <c r="K141" i="4"/>
  <c r="L141" i="4" s="1"/>
  <c r="B142" i="4"/>
  <c r="C142" i="4"/>
  <c r="D142" i="4"/>
  <c r="F142" i="4"/>
  <c r="G142" i="4"/>
  <c r="H142" i="4"/>
  <c r="I142" i="4"/>
  <c r="K142" i="4"/>
  <c r="L142" i="4" s="1"/>
  <c r="B143" i="4"/>
  <c r="C143" i="4"/>
  <c r="D143" i="4"/>
  <c r="F143" i="4"/>
  <c r="G143" i="4"/>
  <c r="H143" i="4"/>
  <c r="I143" i="4"/>
  <c r="K143" i="4"/>
  <c r="L143" i="4" s="1"/>
  <c r="B144" i="4"/>
  <c r="C144" i="4"/>
  <c r="D144" i="4"/>
  <c r="F144" i="4"/>
  <c r="G144" i="4"/>
  <c r="K144" i="4" s="1"/>
  <c r="L144" i="4" s="1"/>
  <c r="H144" i="4"/>
  <c r="I144" i="4"/>
  <c r="B145" i="4"/>
  <c r="C145" i="4"/>
  <c r="D145" i="4"/>
  <c r="F145" i="4"/>
  <c r="G145" i="4"/>
  <c r="H145" i="4"/>
  <c r="I145" i="4"/>
  <c r="K145" i="4"/>
  <c r="L145" i="4" s="1"/>
  <c r="B146" i="4"/>
  <c r="C146" i="4"/>
  <c r="D146" i="4"/>
  <c r="F146" i="4"/>
  <c r="G146" i="4"/>
  <c r="H146" i="4"/>
  <c r="I146" i="4"/>
  <c r="K146" i="4"/>
  <c r="L146" i="4"/>
  <c r="B147" i="4"/>
  <c r="C147" i="4"/>
  <c r="D147" i="4"/>
  <c r="F147" i="4"/>
  <c r="G147" i="4"/>
  <c r="H147" i="4"/>
  <c r="I147" i="4"/>
  <c r="K147" i="4"/>
  <c r="L147" i="4" s="1"/>
  <c r="B148" i="4"/>
  <c r="C148" i="4"/>
  <c r="D148" i="4"/>
  <c r="F148" i="4"/>
  <c r="G148" i="4"/>
  <c r="K148" i="4" s="1"/>
  <c r="L148" i="4" s="1"/>
  <c r="H148" i="4"/>
  <c r="I148" i="4"/>
  <c r="B149" i="4"/>
  <c r="C149" i="4"/>
  <c r="D149" i="4"/>
  <c r="F149" i="4"/>
  <c r="G149" i="4"/>
  <c r="H149" i="4"/>
  <c r="I149" i="4"/>
  <c r="K149" i="4"/>
  <c r="L149" i="4" s="1"/>
  <c r="B150" i="4"/>
  <c r="C150" i="4"/>
  <c r="D150" i="4"/>
  <c r="F150" i="4"/>
  <c r="G150" i="4"/>
  <c r="H150" i="4"/>
  <c r="I150" i="4"/>
  <c r="K150" i="4"/>
  <c r="L150" i="4"/>
  <c r="B151" i="4"/>
  <c r="C151" i="4"/>
  <c r="D151" i="4"/>
  <c r="F151" i="4"/>
  <c r="G151" i="4"/>
  <c r="H151" i="4"/>
  <c r="I151" i="4"/>
  <c r="K151" i="4"/>
  <c r="L151" i="4" s="1"/>
  <c r="B152" i="4"/>
  <c r="C152" i="4"/>
  <c r="D152" i="4"/>
  <c r="F152" i="4"/>
  <c r="G152" i="4"/>
  <c r="K152" i="4" s="1"/>
  <c r="L152" i="4" s="1"/>
  <c r="H152" i="4"/>
  <c r="I152" i="4"/>
  <c r="B153" i="4"/>
  <c r="C153" i="4"/>
  <c r="D153" i="4"/>
  <c r="F153" i="4"/>
  <c r="G153" i="4"/>
  <c r="H153" i="4"/>
  <c r="I153" i="4"/>
  <c r="K153" i="4"/>
  <c r="L153" i="4" s="1"/>
  <c r="B154" i="4"/>
  <c r="C154" i="4"/>
  <c r="D154" i="4"/>
  <c r="F154" i="4"/>
  <c r="G154" i="4"/>
  <c r="H154" i="4"/>
  <c r="I154" i="4"/>
  <c r="K154" i="4"/>
  <c r="L154" i="4" s="1"/>
  <c r="B155" i="4"/>
  <c r="C155" i="4"/>
  <c r="D155" i="4"/>
  <c r="F155" i="4"/>
  <c r="G155" i="4"/>
  <c r="H155" i="4"/>
  <c r="I155" i="4"/>
  <c r="K155" i="4"/>
  <c r="L155" i="4" s="1"/>
  <c r="B156" i="4"/>
  <c r="C156" i="4"/>
  <c r="D156" i="4"/>
  <c r="F156" i="4"/>
  <c r="G156" i="4"/>
  <c r="K156" i="4" s="1"/>
  <c r="L156" i="4" s="1"/>
  <c r="H156" i="4"/>
  <c r="I156" i="4"/>
  <c r="B157" i="4"/>
  <c r="C157" i="4"/>
  <c r="D157" i="4"/>
  <c r="F157" i="4"/>
  <c r="G157" i="4"/>
  <c r="H157" i="4"/>
  <c r="I157" i="4"/>
  <c r="K157" i="4"/>
  <c r="L157" i="4" s="1"/>
  <c r="B158" i="4"/>
  <c r="C158" i="4"/>
  <c r="D158" i="4"/>
  <c r="F158" i="4"/>
  <c r="G158" i="4"/>
  <c r="H158" i="4"/>
  <c r="I158" i="4"/>
  <c r="K158" i="4"/>
  <c r="L158" i="4"/>
  <c r="B159" i="4"/>
  <c r="C159" i="4"/>
  <c r="D159" i="4"/>
  <c r="F159" i="4"/>
  <c r="G159" i="4"/>
  <c r="H159" i="4"/>
  <c r="I159" i="4"/>
  <c r="K159" i="4"/>
  <c r="L159" i="4" s="1"/>
  <c r="B160" i="4"/>
  <c r="C160" i="4"/>
  <c r="D160" i="4"/>
  <c r="F160" i="4"/>
  <c r="G160" i="4"/>
  <c r="K160" i="4" s="1"/>
  <c r="L160" i="4" s="1"/>
  <c r="H160" i="4"/>
  <c r="I160" i="4"/>
  <c r="B161" i="4"/>
  <c r="C161" i="4"/>
  <c r="D161" i="4"/>
  <c r="F161" i="4"/>
  <c r="G161" i="4"/>
  <c r="H161" i="4"/>
  <c r="I161" i="4"/>
  <c r="K161" i="4"/>
  <c r="L161" i="4" s="1"/>
  <c r="B162" i="4"/>
  <c r="C162" i="4"/>
  <c r="D162" i="4"/>
  <c r="F162" i="4"/>
  <c r="G162" i="4"/>
  <c r="H162" i="4"/>
  <c r="I162" i="4"/>
  <c r="K162" i="4"/>
  <c r="L162" i="4" s="1"/>
  <c r="B163" i="4"/>
  <c r="C163" i="4"/>
  <c r="D163" i="4"/>
  <c r="F163" i="4"/>
  <c r="G163" i="4"/>
  <c r="H163" i="4"/>
  <c r="I163" i="4"/>
  <c r="K163" i="4"/>
  <c r="L163" i="4" s="1"/>
  <c r="B164" i="4"/>
  <c r="C164" i="4"/>
  <c r="D164" i="4"/>
  <c r="F164" i="4"/>
  <c r="G164" i="4"/>
  <c r="K164" i="4" s="1"/>
  <c r="L164" i="4" s="1"/>
  <c r="H164" i="4"/>
  <c r="I164" i="4"/>
  <c r="B165" i="4"/>
  <c r="C165" i="4"/>
  <c r="D165" i="4"/>
  <c r="F165" i="4"/>
  <c r="G165" i="4"/>
  <c r="H165" i="4"/>
  <c r="I165" i="4"/>
  <c r="K165" i="4"/>
  <c r="L165" i="4" s="1"/>
  <c r="B166" i="4"/>
  <c r="C166" i="4"/>
  <c r="D166" i="4"/>
  <c r="F166" i="4"/>
  <c r="G166" i="4"/>
  <c r="H166" i="4"/>
  <c r="I166" i="4"/>
  <c r="K166" i="4"/>
  <c r="L166" i="4" s="1"/>
  <c r="B167" i="4"/>
  <c r="C167" i="4"/>
  <c r="D167" i="4"/>
  <c r="F167" i="4"/>
  <c r="G167" i="4"/>
  <c r="H167" i="4"/>
  <c r="I167" i="4"/>
  <c r="K167" i="4"/>
  <c r="L167" i="4" s="1"/>
  <c r="B168" i="4"/>
  <c r="C168" i="4"/>
  <c r="D168" i="4"/>
  <c r="F168" i="4"/>
  <c r="G168" i="4"/>
  <c r="K168" i="4" s="1"/>
  <c r="L168" i="4" s="1"/>
  <c r="H168" i="4"/>
  <c r="I168" i="4"/>
  <c r="B169" i="4"/>
  <c r="C169" i="4"/>
  <c r="D169" i="4"/>
  <c r="F169" i="4"/>
  <c r="G169" i="4"/>
  <c r="H169" i="4"/>
  <c r="I169" i="4"/>
  <c r="K169" i="4"/>
  <c r="L169" i="4" s="1"/>
  <c r="B170" i="4"/>
  <c r="C170" i="4"/>
  <c r="D170" i="4"/>
  <c r="F170" i="4"/>
  <c r="G170" i="4"/>
  <c r="H170" i="4"/>
  <c r="I170" i="4"/>
  <c r="K170" i="4"/>
  <c r="L170" i="4" s="1"/>
  <c r="B171" i="4"/>
  <c r="C171" i="4"/>
  <c r="D171" i="4"/>
  <c r="F171" i="4"/>
  <c r="G171" i="4"/>
  <c r="H171" i="4"/>
  <c r="I171" i="4"/>
  <c r="K171" i="4"/>
  <c r="L171" i="4" s="1"/>
  <c r="B172" i="4"/>
  <c r="C172" i="4"/>
  <c r="D172" i="4"/>
  <c r="F172" i="4"/>
  <c r="G172" i="4"/>
  <c r="K172" i="4" s="1"/>
  <c r="L172" i="4" s="1"/>
  <c r="H172" i="4"/>
  <c r="I172" i="4"/>
  <c r="B173" i="4"/>
  <c r="C173" i="4"/>
  <c r="D173" i="4"/>
  <c r="F173" i="4"/>
  <c r="G173" i="4"/>
  <c r="H173" i="4"/>
  <c r="I173" i="4"/>
  <c r="K173" i="4"/>
  <c r="L173" i="4" s="1"/>
  <c r="B174" i="4"/>
  <c r="C174" i="4"/>
  <c r="D174" i="4"/>
  <c r="F174" i="4"/>
  <c r="G174" i="4"/>
  <c r="H174" i="4"/>
  <c r="I174" i="4"/>
  <c r="K174" i="4"/>
  <c r="L174" i="4" s="1"/>
  <c r="B175" i="4"/>
  <c r="C175" i="4"/>
  <c r="D175" i="4"/>
  <c r="F175" i="4"/>
  <c r="G175" i="4"/>
  <c r="H175" i="4"/>
  <c r="I175" i="4"/>
  <c r="K175" i="4"/>
  <c r="L175" i="4" s="1"/>
  <c r="B176" i="4"/>
  <c r="C176" i="4"/>
  <c r="D176" i="4"/>
  <c r="F176" i="4"/>
  <c r="G176" i="4"/>
  <c r="K176" i="4" s="1"/>
  <c r="L176" i="4" s="1"/>
  <c r="H176" i="4"/>
  <c r="I176" i="4"/>
  <c r="B177" i="4"/>
  <c r="C177" i="4"/>
  <c r="D177" i="4"/>
  <c r="F177" i="4"/>
  <c r="G177" i="4"/>
  <c r="H177" i="4"/>
  <c r="I177" i="4"/>
  <c r="K177" i="4"/>
  <c r="L177" i="4" s="1"/>
  <c r="B178" i="4"/>
  <c r="C178" i="4"/>
  <c r="D178" i="4"/>
  <c r="F178" i="4"/>
  <c r="G178" i="4"/>
  <c r="H178" i="4"/>
  <c r="I178" i="4"/>
  <c r="K178" i="4"/>
  <c r="L178" i="4" s="1"/>
  <c r="B179" i="4"/>
  <c r="C179" i="4"/>
  <c r="D179" i="4"/>
  <c r="F179" i="4"/>
  <c r="G179" i="4"/>
  <c r="H179" i="4"/>
  <c r="I179" i="4"/>
  <c r="K179" i="4"/>
  <c r="L179" i="4" s="1"/>
  <c r="B180" i="4"/>
  <c r="C180" i="4"/>
  <c r="D180" i="4"/>
  <c r="F180" i="4"/>
  <c r="G180" i="4"/>
  <c r="K180" i="4" s="1"/>
  <c r="L180" i="4" s="1"/>
  <c r="H180" i="4"/>
  <c r="I180" i="4"/>
  <c r="B181" i="4"/>
  <c r="C181" i="4"/>
  <c r="D181" i="4"/>
  <c r="F181" i="4"/>
  <c r="G181" i="4"/>
  <c r="H181" i="4"/>
  <c r="I181" i="4"/>
  <c r="K181" i="4"/>
  <c r="L181" i="4" s="1"/>
  <c r="B182" i="4"/>
  <c r="C182" i="4"/>
  <c r="D182" i="4"/>
  <c r="F182" i="4"/>
  <c r="G182" i="4"/>
  <c r="H182" i="4"/>
  <c r="I182" i="4"/>
  <c r="K182" i="4"/>
  <c r="L182" i="4" s="1"/>
  <c r="B183" i="4"/>
  <c r="C183" i="4"/>
  <c r="D183" i="4"/>
  <c r="F183" i="4"/>
  <c r="G183" i="4"/>
  <c r="H183" i="4"/>
  <c r="I183" i="4"/>
  <c r="K183" i="4"/>
  <c r="L183" i="4" s="1"/>
  <c r="B184" i="4"/>
  <c r="C184" i="4"/>
  <c r="D184" i="4"/>
  <c r="F184" i="4"/>
  <c r="G184" i="4"/>
  <c r="K184" i="4" s="1"/>
  <c r="L184" i="4" s="1"/>
  <c r="H184" i="4"/>
  <c r="I184" i="4"/>
  <c r="B185" i="4"/>
  <c r="C185" i="4"/>
  <c r="D185" i="4"/>
  <c r="F185" i="4"/>
  <c r="G185" i="4"/>
  <c r="H185" i="4"/>
  <c r="I185" i="4"/>
  <c r="K185" i="4"/>
  <c r="L185" i="4" s="1"/>
  <c r="B186" i="4"/>
  <c r="C186" i="4"/>
  <c r="D186" i="4"/>
  <c r="F186" i="4"/>
  <c r="G186" i="4"/>
  <c r="H186" i="4"/>
  <c r="I186" i="4"/>
  <c r="K186" i="4"/>
  <c r="L186" i="4" s="1"/>
  <c r="B187" i="4"/>
  <c r="C187" i="4"/>
  <c r="D187" i="4"/>
  <c r="F187" i="4"/>
  <c r="G187" i="4"/>
  <c r="H187" i="4"/>
  <c r="I187" i="4"/>
  <c r="K187" i="4"/>
  <c r="L187" i="4" s="1"/>
  <c r="B188" i="4"/>
  <c r="C188" i="4"/>
  <c r="D188" i="4"/>
  <c r="F188" i="4"/>
  <c r="G188" i="4"/>
  <c r="K188" i="4" s="1"/>
  <c r="L188" i="4" s="1"/>
  <c r="H188" i="4"/>
  <c r="I188" i="4"/>
  <c r="B189" i="4"/>
  <c r="C189" i="4"/>
  <c r="D189" i="4"/>
  <c r="F189" i="4"/>
  <c r="G189" i="4"/>
  <c r="H189" i="4"/>
  <c r="I189" i="4"/>
  <c r="K189" i="4"/>
  <c r="L189" i="4" s="1"/>
  <c r="B190" i="4"/>
  <c r="C190" i="4"/>
  <c r="D190" i="4"/>
  <c r="F190" i="4"/>
  <c r="G190" i="4"/>
  <c r="H190" i="4"/>
  <c r="I190" i="4"/>
  <c r="K190" i="4"/>
  <c r="L190" i="4" s="1"/>
  <c r="B191" i="4"/>
  <c r="C191" i="4"/>
  <c r="D191" i="4"/>
  <c r="F191" i="4"/>
  <c r="G191" i="4"/>
  <c r="H191" i="4"/>
  <c r="I191" i="4"/>
  <c r="K191" i="4"/>
  <c r="L191" i="4" s="1"/>
  <c r="B192" i="4"/>
  <c r="C192" i="4"/>
  <c r="D192" i="4"/>
  <c r="F192" i="4"/>
  <c r="G192" i="4"/>
  <c r="K192" i="4" s="1"/>
  <c r="L192" i="4" s="1"/>
  <c r="H192" i="4"/>
  <c r="I192" i="4"/>
  <c r="B193" i="4"/>
  <c r="C193" i="4"/>
  <c r="D193" i="4"/>
  <c r="F193" i="4"/>
  <c r="G193" i="4"/>
  <c r="H193" i="4"/>
  <c r="I193" i="4"/>
  <c r="K193" i="4"/>
  <c r="L193" i="4" s="1"/>
  <c r="B194" i="4"/>
  <c r="C194" i="4"/>
  <c r="D194" i="4"/>
  <c r="F194" i="4"/>
  <c r="G194" i="4"/>
  <c r="H194" i="4"/>
  <c r="I194" i="4"/>
  <c r="K194" i="4"/>
  <c r="L194" i="4" s="1"/>
  <c r="B195" i="4"/>
  <c r="C195" i="4"/>
  <c r="D195" i="4"/>
  <c r="F195" i="4"/>
  <c r="G195" i="4"/>
  <c r="H195" i="4"/>
  <c r="I195" i="4"/>
  <c r="K195" i="4"/>
  <c r="L195" i="4" s="1"/>
  <c r="B196" i="4"/>
  <c r="C196" i="4"/>
  <c r="D196" i="4"/>
  <c r="F196" i="4"/>
  <c r="G196" i="4"/>
  <c r="K196" i="4" s="1"/>
  <c r="L196" i="4" s="1"/>
  <c r="H196" i="4"/>
  <c r="I196" i="4"/>
  <c r="B197" i="4"/>
  <c r="C197" i="4"/>
  <c r="D197" i="4"/>
  <c r="F197" i="4"/>
  <c r="G197" i="4"/>
  <c r="H197" i="4"/>
  <c r="I197" i="4"/>
  <c r="K197" i="4"/>
  <c r="L197" i="4" s="1"/>
  <c r="B198" i="4"/>
  <c r="C198" i="4"/>
  <c r="D198" i="4"/>
  <c r="F198" i="4"/>
  <c r="G198" i="4"/>
  <c r="H198" i="4"/>
  <c r="I198" i="4"/>
  <c r="K198" i="4"/>
  <c r="L198" i="4" s="1"/>
  <c r="B199" i="4"/>
  <c r="C199" i="4"/>
  <c r="D199" i="4"/>
  <c r="F199" i="4"/>
  <c r="G199" i="4"/>
  <c r="H199" i="4"/>
  <c r="I199" i="4"/>
  <c r="K199" i="4"/>
  <c r="L199" i="4" s="1"/>
  <c r="B200" i="4"/>
  <c r="C200" i="4"/>
  <c r="D200" i="4"/>
  <c r="F200" i="4"/>
  <c r="G200" i="4"/>
  <c r="K200" i="4" s="1"/>
  <c r="L200" i="4" s="1"/>
  <c r="H200" i="4"/>
  <c r="I200" i="4"/>
  <c r="B201" i="4"/>
  <c r="C201" i="4"/>
  <c r="D201" i="4"/>
  <c r="F201" i="4"/>
  <c r="G201" i="4"/>
  <c r="H201" i="4"/>
  <c r="I201" i="4"/>
  <c r="K201" i="4"/>
  <c r="L201" i="4" s="1"/>
  <c r="B202" i="4"/>
  <c r="C202" i="4"/>
  <c r="D202" i="4"/>
  <c r="F202" i="4"/>
  <c r="G202" i="4"/>
  <c r="H202" i="4"/>
  <c r="I202" i="4"/>
  <c r="K202" i="4"/>
  <c r="L202" i="4" s="1"/>
  <c r="B203" i="4"/>
  <c r="C203" i="4"/>
  <c r="D203" i="4"/>
  <c r="F203" i="4"/>
  <c r="G203" i="4"/>
  <c r="H203" i="4"/>
  <c r="I203" i="4"/>
  <c r="K203" i="4"/>
  <c r="L203" i="4" s="1"/>
  <c r="B204" i="4"/>
  <c r="C204" i="4"/>
  <c r="D204" i="4"/>
  <c r="F204" i="4"/>
  <c r="G204" i="4"/>
  <c r="K204" i="4" s="1"/>
  <c r="L204" i="4" s="1"/>
  <c r="H204" i="4"/>
  <c r="I204" i="4"/>
  <c r="B205" i="4"/>
  <c r="C205" i="4"/>
  <c r="D205" i="4"/>
  <c r="F205" i="4"/>
  <c r="G205" i="4"/>
  <c r="H205" i="4"/>
  <c r="I205" i="4"/>
  <c r="K205" i="4"/>
  <c r="L205" i="4" s="1"/>
  <c r="B206" i="4"/>
  <c r="C206" i="4"/>
  <c r="D206" i="4"/>
  <c r="F206" i="4"/>
  <c r="G206" i="4"/>
  <c r="H206" i="4"/>
  <c r="I206" i="4"/>
  <c r="K206" i="4"/>
  <c r="L206" i="4" s="1"/>
  <c r="B207" i="4"/>
  <c r="C207" i="4"/>
  <c r="D207" i="4"/>
  <c r="F207" i="4"/>
  <c r="G207" i="4"/>
  <c r="H207" i="4"/>
  <c r="I207" i="4"/>
  <c r="K207" i="4"/>
  <c r="L207" i="4" s="1"/>
  <c r="B208" i="4"/>
  <c r="C208" i="4"/>
  <c r="D208" i="4"/>
  <c r="F208" i="4"/>
  <c r="G208" i="4"/>
  <c r="K208" i="4" s="1"/>
  <c r="L208" i="4" s="1"/>
  <c r="H208" i="4"/>
  <c r="I208" i="4"/>
  <c r="B209" i="4"/>
  <c r="C209" i="4"/>
  <c r="D209" i="4"/>
  <c r="F209" i="4"/>
  <c r="G209" i="4"/>
  <c r="H209" i="4"/>
  <c r="I209" i="4"/>
  <c r="K209" i="4"/>
  <c r="L209" i="4" s="1"/>
  <c r="B210" i="4"/>
  <c r="C210" i="4"/>
  <c r="D210" i="4"/>
  <c r="F210" i="4"/>
  <c r="G210" i="4"/>
  <c r="H210" i="4"/>
  <c r="I210" i="4"/>
  <c r="K210" i="4"/>
  <c r="L210" i="4" s="1"/>
  <c r="B211" i="4"/>
  <c r="C211" i="4"/>
  <c r="D211" i="4"/>
  <c r="F211" i="4"/>
  <c r="G211" i="4"/>
  <c r="H211" i="4"/>
  <c r="I211" i="4"/>
  <c r="K211" i="4"/>
  <c r="L211" i="4" s="1"/>
  <c r="B212" i="4"/>
  <c r="C212" i="4"/>
  <c r="D212" i="4"/>
  <c r="F212" i="4"/>
  <c r="G212" i="4"/>
  <c r="K212" i="4" s="1"/>
  <c r="L212" i="4" s="1"/>
  <c r="H212" i="4"/>
  <c r="I212" i="4"/>
  <c r="B213" i="4"/>
  <c r="C213" i="4"/>
  <c r="D213" i="4"/>
  <c r="F213" i="4"/>
  <c r="G213" i="4"/>
  <c r="H213" i="4"/>
  <c r="I213" i="4"/>
  <c r="K213" i="4"/>
  <c r="L213" i="4" s="1"/>
  <c r="B214" i="4"/>
  <c r="C214" i="4"/>
  <c r="D214" i="4"/>
  <c r="F214" i="4"/>
  <c r="G214" i="4"/>
  <c r="H214" i="4"/>
  <c r="I214" i="4"/>
  <c r="K214" i="4"/>
  <c r="L214" i="4" s="1"/>
  <c r="B215" i="4"/>
  <c r="C215" i="4"/>
  <c r="D215" i="4"/>
  <c r="F215" i="4"/>
  <c r="G215" i="4"/>
  <c r="H215" i="4"/>
  <c r="I215" i="4"/>
  <c r="K215" i="4"/>
  <c r="L215" i="4" s="1"/>
  <c r="B216" i="4"/>
  <c r="C216" i="4"/>
  <c r="D216" i="4"/>
  <c r="F216" i="4"/>
  <c r="G216" i="4"/>
  <c r="K216" i="4" s="1"/>
  <c r="L216" i="4" s="1"/>
  <c r="H216" i="4"/>
  <c r="I216" i="4"/>
  <c r="B217" i="4"/>
  <c r="C217" i="4"/>
  <c r="D217" i="4"/>
  <c r="F217" i="4"/>
  <c r="G217" i="4"/>
  <c r="H217" i="4"/>
  <c r="I217" i="4"/>
  <c r="K217" i="4"/>
  <c r="L217" i="4" s="1"/>
  <c r="B218" i="4"/>
  <c r="C218" i="4"/>
  <c r="D218" i="4"/>
  <c r="F218" i="4"/>
  <c r="G218" i="4"/>
  <c r="H218" i="4"/>
  <c r="I218" i="4"/>
  <c r="K218" i="4"/>
  <c r="L218" i="4" s="1"/>
  <c r="B219" i="4"/>
  <c r="C219" i="4"/>
  <c r="D219" i="4"/>
  <c r="F219" i="4"/>
  <c r="G219" i="4"/>
  <c r="H219" i="4"/>
  <c r="I219" i="4"/>
  <c r="K219" i="4"/>
  <c r="L219" i="4" s="1"/>
  <c r="B220" i="4"/>
  <c r="C220" i="4"/>
  <c r="D220" i="4"/>
  <c r="F220" i="4"/>
  <c r="G220" i="4"/>
  <c r="K220" i="4" s="1"/>
  <c r="L220" i="4" s="1"/>
  <c r="H220" i="4"/>
  <c r="I220" i="4"/>
  <c r="B221" i="4"/>
  <c r="C221" i="4"/>
  <c r="D221" i="4"/>
  <c r="F221" i="4"/>
  <c r="G221" i="4"/>
  <c r="H221" i="4"/>
  <c r="I221" i="4"/>
  <c r="K221" i="4"/>
  <c r="L221" i="4" s="1"/>
  <c r="B222" i="4"/>
  <c r="C222" i="4"/>
  <c r="D222" i="4"/>
  <c r="F222" i="4"/>
  <c r="G222" i="4"/>
  <c r="H222" i="4"/>
  <c r="I222" i="4"/>
  <c r="K222" i="4"/>
  <c r="L222" i="4" s="1"/>
  <c r="B223" i="4"/>
  <c r="C223" i="4"/>
  <c r="D223" i="4"/>
  <c r="F223" i="4"/>
  <c r="G223" i="4"/>
  <c r="H223" i="4"/>
  <c r="I223" i="4"/>
  <c r="K223" i="4"/>
  <c r="L223" i="4" s="1"/>
  <c r="B224" i="4"/>
  <c r="C224" i="4"/>
  <c r="D224" i="4"/>
  <c r="F224" i="4"/>
  <c r="G224" i="4"/>
  <c r="K224" i="4" s="1"/>
  <c r="L224" i="4" s="1"/>
  <c r="H224" i="4"/>
  <c r="I224" i="4"/>
  <c r="B225" i="4"/>
  <c r="C225" i="4"/>
  <c r="D225" i="4"/>
  <c r="F225" i="4"/>
  <c r="G225" i="4"/>
  <c r="H225" i="4"/>
  <c r="I225" i="4"/>
  <c r="K225" i="4"/>
  <c r="L225" i="4" s="1"/>
  <c r="B226" i="4"/>
  <c r="C226" i="4"/>
  <c r="D226" i="4"/>
  <c r="F226" i="4"/>
  <c r="G226" i="4"/>
  <c r="H226" i="4"/>
  <c r="I226" i="4"/>
  <c r="K226" i="4"/>
  <c r="L226" i="4" s="1"/>
  <c r="B227" i="4"/>
  <c r="C227" i="4"/>
  <c r="D227" i="4"/>
  <c r="F227" i="4"/>
  <c r="G227" i="4"/>
  <c r="H227" i="4"/>
  <c r="I227" i="4"/>
  <c r="K227" i="4"/>
  <c r="L227" i="4" s="1"/>
  <c r="B228" i="4"/>
  <c r="C228" i="4"/>
  <c r="D228" i="4"/>
  <c r="F228" i="4"/>
  <c r="G228" i="4"/>
  <c r="K228" i="4" s="1"/>
  <c r="L228" i="4" s="1"/>
  <c r="H228" i="4"/>
  <c r="I228" i="4"/>
  <c r="B229" i="4"/>
  <c r="C229" i="4"/>
  <c r="D229" i="4"/>
  <c r="F229" i="4"/>
  <c r="G229" i="4"/>
  <c r="H229" i="4"/>
  <c r="I229" i="4"/>
  <c r="K229" i="4"/>
  <c r="L229" i="4" s="1"/>
  <c r="B230" i="4"/>
  <c r="C230" i="4"/>
  <c r="D230" i="4"/>
  <c r="F230" i="4"/>
  <c r="G230" i="4"/>
  <c r="H230" i="4"/>
  <c r="I230" i="4"/>
  <c r="K230" i="4"/>
  <c r="L230" i="4" s="1"/>
  <c r="B231" i="4"/>
  <c r="C231" i="4"/>
  <c r="D231" i="4"/>
  <c r="F231" i="4"/>
  <c r="G231" i="4"/>
  <c r="H231" i="4"/>
  <c r="I231" i="4"/>
  <c r="K231" i="4"/>
  <c r="L231" i="4" s="1"/>
  <c r="B232" i="4"/>
  <c r="C232" i="4"/>
  <c r="D232" i="4"/>
  <c r="F232" i="4"/>
  <c r="G232" i="4"/>
  <c r="K232" i="4" s="1"/>
  <c r="L232" i="4" s="1"/>
  <c r="H232" i="4"/>
  <c r="I232" i="4"/>
  <c r="B233" i="4"/>
  <c r="C233" i="4"/>
  <c r="D233" i="4"/>
  <c r="F233" i="4"/>
  <c r="G233" i="4"/>
  <c r="H233" i="4"/>
  <c r="I233" i="4"/>
  <c r="K233" i="4"/>
  <c r="L233" i="4" s="1"/>
  <c r="B234" i="4"/>
  <c r="C234" i="4"/>
  <c r="D234" i="4"/>
  <c r="F234" i="4"/>
  <c r="G234" i="4"/>
  <c r="H234" i="4"/>
  <c r="I234" i="4"/>
  <c r="K234" i="4"/>
  <c r="L234" i="4" s="1"/>
  <c r="B235" i="4"/>
  <c r="C235" i="4"/>
  <c r="D235" i="4"/>
  <c r="F235" i="4"/>
  <c r="G235" i="4"/>
  <c r="H235" i="4"/>
  <c r="I235" i="4"/>
  <c r="K235" i="4"/>
  <c r="L235" i="4" s="1"/>
  <c r="B236" i="4"/>
  <c r="C236" i="4"/>
  <c r="D236" i="4"/>
  <c r="F236" i="4"/>
  <c r="G236" i="4"/>
  <c r="K236" i="4" s="1"/>
  <c r="L236" i="4" s="1"/>
  <c r="H236" i="4"/>
  <c r="I236" i="4"/>
  <c r="B237" i="4"/>
  <c r="C237" i="4"/>
  <c r="D237" i="4"/>
  <c r="F237" i="4"/>
  <c r="G237" i="4"/>
  <c r="H237" i="4"/>
  <c r="I237" i="4"/>
  <c r="K237" i="4"/>
  <c r="L237" i="4" s="1"/>
  <c r="B238" i="4"/>
  <c r="C238" i="4"/>
  <c r="D238" i="4"/>
  <c r="F238" i="4"/>
  <c r="G238" i="4"/>
  <c r="H238" i="4"/>
  <c r="I238" i="4"/>
  <c r="K238" i="4"/>
  <c r="L238" i="4" s="1"/>
  <c r="B239" i="4"/>
  <c r="C239" i="4"/>
  <c r="D239" i="4"/>
  <c r="F239" i="4"/>
  <c r="G239" i="4"/>
  <c r="H239" i="4"/>
  <c r="I239" i="4"/>
  <c r="K239" i="4"/>
  <c r="L239" i="4" s="1"/>
  <c r="B240" i="4"/>
  <c r="C240" i="4"/>
  <c r="D240" i="4"/>
  <c r="F240" i="4"/>
  <c r="G240" i="4"/>
  <c r="K240" i="4" s="1"/>
  <c r="L240" i="4" s="1"/>
  <c r="H240" i="4"/>
  <c r="I240" i="4"/>
  <c r="B241" i="4"/>
  <c r="C241" i="4"/>
  <c r="D241" i="4"/>
  <c r="F241" i="4"/>
  <c r="G241" i="4"/>
  <c r="H241" i="4"/>
  <c r="I241" i="4"/>
  <c r="K241" i="4"/>
  <c r="L241" i="4" s="1"/>
  <c r="B242" i="4"/>
  <c r="C242" i="4"/>
  <c r="D242" i="4"/>
  <c r="F242" i="4"/>
  <c r="G242" i="4"/>
  <c r="H242" i="4"/>
  <c r="I242" i="4"/>
  <c r="K242" i="4"/>
  <c r="L242" i="4" s="1"/>
  <c r="B243" i="4"/>
  <c r="C243" i="4"/>
  <c r="D243" i="4"/>
  <c r="F243" i="4"/>
  <c r="G243" i="4"/>
  <c r="H243" i="4"/>
  <c r="I243" i="4"/>
  <c r="K243" i="4"/>
  <c r="L243" i="4" s="1"/>
  <c r="B244" i="4"/>
  <c r="C244" i="4"/>
  <c r="D244" i="4"/>
  <c r="F244" i="4"/>
  <c r="G244" i="4"/>
  <c r="K244" i="4" s="1"/>
  <c r="L244" i="4" s="1"/>
  <c r="H244" i="4"/>
  <c r="I244" i="4"/>
  <c r="B245" i="4"/>
  <c r="C245" i="4"/>
  <c r="D245" i="4"/>
  <c r="F245" i="4"/>
  <c r="G245" i="4"/>
  <c r="H245" i="4"/>
  <c r="I245" i="4"/>
  <c r="K245" i="4"/>
  <c r="L245" i="4" s="1"/>
  <c r="B246" i="4"/>
  <c r="C246" i="4"/>
  <c r="D246" i="4"/>
  <c r="F246" i="4"/>
  <c r="G246" i="4"/>
  <c r="H246" i="4"/>
  <c r="I246" i="4"/>
  <c r="K246" i="4"/>
  <c r="L246" i="4" s="1"/>
  <c r="B247" i="4"/>
  <c r="C247" i="4"/>
  <c r="D247" i="4"/>
  <c r="F247" i="4"/>
  <c r="G247" i="4"/>
  <c r="H247" i="4"/>
  <c r="I247" i="4"/>
  <c r="K247" i="4"/>
  <c r="L247" i="4" s="1"/>
  <c r="B248" i="4"/>
  <c r="C248" i="4"/>
  <c r="D248" i="4"/>
  <c r="F248" i="4"/>
  <c r="G248" i="4"/>
  <c r="K248" i="4" s="1"/>
  <c r="L248" i="4" s="1"/>
  <c r="H248" i="4"/>
  <c r="I248" i="4"/>
  <c r="B249" i="4"/>
  <c r="C249" i="4"/>
  <c r="D249" i="4"/>
  <c r="F249" i="4"/>
  <c r="G249" i="4"/>
  <c r="H249" i="4"/>
  <c r="I249" i="4"/>
  <c r="K249" i="4"/>
  <c r="L249" i="4" s="1"/>
  <c r="B250" i="4"/>
  <c r="C250" i="4"/>
  <c r="D250" i="4"/>
  <c r="F250" i="4"/>
  <c r="G250" i="4"/>
  <c r="H250" i="4"/>
  <c r="I250" i="4"/>
  <c r="K250" i="4"/>
  <c r="L250" i="4" s="1"/>
  <c r="B251" i="4"/>
  <c r="C251" i="4"/>
  <c r="D251" i="4"/>
  <c r="F251" i="4"/>
  <c r="G251" i="4"/>
  <c r="H251" i="4"/>
  <c r="I251" i="4"/>
  <c r="K251" i="4"/>
  <c r="L251" i="4" s="1"/>
  <c r="B252" i="4"/>
  <c r="C252" i="4"/>
  <c r="D252" i="4"/>
  <c r="F252" i="4"/>
  <c r="G252" i="4"/>
  <c r="K252" i="4" s="1"/>
  <c r="L252" i="4" s="1"/>
  <c r="H252" i="4"/>
  <c r="I252" i="4"/>
  <c r="B253" i="4"/>
  <c r="C253" i="4"/>
  <c r="D253" i="4"/>
  <c r="F253" i="4"/>
  <c r="G253" i="4"/>
  <c r="H253" i="4"/>
  <c r="I253" i="4"/>
  <c r="K253" i="4"/>
  <c r="L253" i="4" s="1"/>
  <c r="B254" i="4"/>
  <c r="C254" i="4"/>
  <c r="D254" i="4"/>
  <c r="F254" i="4"/>
  <c r="G254" i="4"/>
  <c r="H254" i="4"/>
  <c r="I254" i="4"/>
  <c r="K254" i="4"/>
  <c r="L254" i="4" s="1"/>
  <c r="B255" i="4"/>
  <c r="C255" i="4"/>
  <c r="D255" i="4"/>
  <c r="F255" i="4"/>
  <c r="G255" i="4"/>
  <c r="H255" i="4"/>
  <c r="I255" i="4"/>
  <c r="K255" i="4"/>
  <c r="L255" i="4" s="1"/>
  <c r="B256" i="4"/>
  <c r="C256" i="4"/>
  <c r="D256" i="4"/>
  <c r="F256" i="4"/>
  <c r="G256" i="4"/>
  <c r="K256" i="4" s="1"/>
  <c r="L256" i="4" s="1"/>
  <c r="H256" i="4"/>
  <c r="I256" i="4"/>
  <c r="B257" i="4"/>
  <c r="C257" i="4"/>
  <c r="D257" i="4"/>
  <c r="F257" i="4"/>
  <c r="G257" i="4"/>
  <c r="H257" i="4"/>
  <c r="I257" i="4"/>
  <c r="K257" i="4"/>
  <c r="L257" i="4" s="1"/>
  <c r="B258" i="4"/>
  <c r="C258" i="4"/>
  <c r="D258" i="4"/>
  <c r="F258" i="4"/>
  <c r="G258" i="4"/>
  <c r="H258" i="4"/>
  <c r="I258" i="4"/>
  <c r="K258" i="4"/>
  <c r="L258" i="4" s="1"/>
  <c r="B259" i="4"/>
  <c r="C259" i="4"/>
  <c r="D259" i="4"/>
  <c r="F259" i="4"/>
  <c r="G259" i="4"/>
  <c r="H259" i="4"/>
  <c r="I259" i="4"/>
  <c r="K259" i="4"/>
  <c r="L259" i="4" s="1"/>
  <c r="B260" i="4"/>
  <c r="C260" i="4"/>
  <c r="D260" i="4"/>
  <c r="F260" i="4"/>
  <c r="G260" i="4"/>
  <c r="K260" i="4" s="1"/>
  <c r="L260" i="4" s="1"/>
  <c r="H260" i="4"/>
  <c r="I260" i="4"/>
  <c r="B261" i="4"/>
  <c r="C261" i="4"/>
  <c r="D261" i="4"/>
  <c r="F261" i="4"/>
  <c r="G261" i="4"/>
  <c r="H261" i="4"/>
  <c r="I261" i="4"/>
  <c r="K261" i="4"/>
  <c r="L261" i="4" s="1"/>
  <c r="B262" i="4"/>
  <c r="C262" i="4"/>
  <c r="D262" i="4"/>
  <c r="F262" i="4"/>
  <c r="G262" i="4"/>
  <c r="H262" i="4"/>
  <c r="I262" i="4"/>
  <c r="K262" i="4"/>
  <c r="L262" i="4" s="1"/>
  <c r="B263" i="4"/>
  <c r="C263" i="4"/>
  <c r="D263" i="4"/>
  <c r="F263" i="4"/>
  <c r="G263" i="4"/>
  <c r="H263" i="4"/>
  <c r="I263" i="4"/>
  <c r="K263" i="4"/>
  <c r="L263" i="4" s="1"/>
  <c r="B264" i="4"/>
  <c r="C264" i="4"/>
  <c r="D264" i="4"/>
  <c r="F264" i="4"/>
  <c r="G264" i="4"/>
  <c r="K264" i="4" s="1"/>
  <c r="L264" i="4" s="1"/>
  <c r="H264" i="4"/>
  <c r="I264" i="4"/>
  <c r="B265" i="4"/>
  <c r="C265" i="4"/>
  <c r="D265" i="4"/>
  <c r="F265" i="4"/>
  <c r="G265" i="4"/>
  <c r="H265" i="4"/>
  <c r="I265" i="4"/>
  <c r="K265" i="4"/>
  <c r="L265" i="4" s="1"/>
  <c r="B266" i="4"/>
  <c r="C266" i="4"/>
  <c r="D266" i="4"/>
  <c r="F266" i="4"/>
  <c r="G266" i="4"/>
  <c r="H266" i="4"/>
  <c r="I266" i="4"/>
  <c r="K266" i="4"/>
  <c r="L266" i="4" s="1"/>
  <c r="B267" i="4"/>
  <c r="C267" i="4"/>
  <c r="D267" i="4"/>
  <c r="F267" i="4"/>
  <c r="G267" i="4"/>
  <c r="H267" i="4"/>
  <c r="I267" i="4"/>
  <c r="K267" i="4"/>
  <c r="L267" i="4" s="1"/>
  <c r="B268" i="4"/>
  <c r="C268" i="4"/>
  <c r="D268" i="4"/>
  <c r="F268" i="4"/>
  <c r="G268" i="4"/>
  <c r="K268" i="4" s="1"/>
  <c r="L268" i="4" s="1"/>
  <c r="H268" i="4"/>
  <c r="I268" i="4"/>
  <c r="B269" i="4"/>
  <c r="C269" i="4"/>
  <c r="D269" i="4"/>
  <c r="F269" i="4"/>
  <c r="G269" i="4"/>
  <c r="H269" i="4"/>
  <c r="I269" i="4"/>
  <c r="K269" i="4"/>
  <c r="L269" i="4" s="1"/>
  <c r="B270" i="4"/>
  <c r="C270" i="4"/>
  <c r="D270" i="4"/>
  <c r="F270" i="4"/>
  <c r="G270" i="4"/>
  <c r="H270" i="4"/>
  <c r="I270" i="4"/>
  <c r="K270" i="4"/>
  <c r="L270" i="4" s="1"/>
  <c r="B271" i="4"/>
  <c r="C271" i="4"/>
  <c r="D271" i="4"/>
  <c r="F271" i="4"/>
  <c r="G271" i="4"/>
  <c r="H271" i="4"/>
  <c r="I271" i="4"/>
  <c r="K271" i="4"/>
  <c r="L271" i="4" s="1"/>
  <c r="B272" i="4"/>
  <c r="C272" i="4"/>
  <c r="D272" i="4"/>
  <c r="F272" i="4"/>
  <c r="G272" i="4"/>
  <c r="K272" i="4" s="1"/>
  <c r="L272" i="4" s="1"/>
  <c r="H272" i="4"/>
  <c r="I272" i="4"/>
  <c r="B273" i="4"/>
  <c r="C273" i="4"/>
  <c r="D273" i="4"/>
  <c r="F273" i="4"/>
  <c r="G273" i="4"/>
  <c r="H273" i="4"/>
  <c r="I273" i="4"/>
  <c r="K273" i="4"/>
  <c r="L273" i="4" s="1"/>
  <c r="B274" i="4"/>
  <c r="C274" i="4"/>
  <c r="D274" i="4"/>
  <c r="F274" i="4"/>
  <c r="G274" i="4"/>
  <c r="H274" i="4"/>
  <c r="I274" i="4"/>
  <c r="K274" i="4"/>
  <c r="L274" i="4" s="1"/>
  <c r="B275" i="4"/>
  <c r="C275" i="4"/>
  <c r="D275" i="4"/>
  <c r="F275" i="4"/>
  <c r="G275" i="4"/>
  <c r="H275" i="4"/>
  <c r="I275" i="4"/>
  <c r="K275" i="4"/>
  <c r="L275" i="4" s="1"/>
  <c r="B276" i="4"/>
  <c r="C276" i="4"/>
  <c r="D276" i="4"/>
  <c r="F276" i="4"/>
  <c r="G276" i="4"/>
  <c r="K276" i="4" s="1"/>
  <c r="L276" i="4" s="1"/>
  <c r="H276" i="4"/>
  <c r="I276" i="4"/>
  <c r="B277" i="4"/>
  <c r="C277" i="4"/>
  <c r="D277" i="4"/>
  <c r="F277" i="4"/>
  <c r="G277" i="4"/>
  <c r="H277" i="4"/>
  <c r="I277" i="4"/>
  <c r="K277" i="4"/>
  <c r="L277" i="4" s="1"/>
  <c r="B278" i="4"/>
  <c r="C278" i="4"/>
  <c r="D278" i="4"/>
  <c r="F278" i="4"/>
  <c r="G278" i="4"/>
  <c r="H278" i="4"/>
  <c r="I278" i="4"/>
  <c r="K278" i="4"/>
  <c r="L278" i="4" s="1"/>
  <c r="B279" i="4"/>
  <c r="C279" i="4"/>
  <c r="D279" i="4"/>
  <c r="F279" i="4"/>
  <c r="G279" i="4"/>
  <c r="H279" i="4"/>
  <c r="I279" i="4"/>
  <c r="K279" i="4"/>
  <c r="L279" i="4" s="1"/>
  <c r="B280" i="4"/>
  <c r="C280" i="4"/>
  <c r="D280" i="4"/>
  <c r="F280" i="4"/>
  <c r="G280" i="4"/>
  <c r="K280" i="4" s="1"/>
  <c r="L280" i="4" s="1"/>
  <c r="H280" i="4"/>
  <c r="I280" i="4"/>
  <c r="B281" i="4"/>
  <c r="C281" i="4"/>
  <c r="D281" i="4"/>
  <c r="F281" i="4"/>
  <c r="G281" i="4"/>
  <c r="H281" i="4"/>
  <c r="I281" i="4"/>
  <c r="K281" i="4"/>
  <c r="L281" i="4" s="1"/>
  <c r="B282" i="4"/>
  <c r="C282" i="4"/>
  <c r="D282" i="4"/>
  <c r="F282" i="4"/>
  <c r="G282" i="4"/>
  <c r="H282" i="4"/>
  <c r="I282" i="4"/>
  <c r="K282" i="4"/>
  <c r="L282" i="4" s="1"/>
  <c r="B283" i="4"/>
  <c r="C283" i="4"/>
  <c r="D283" i="4"/>
  <c r="F283" i="4"/>
  <c r="G283" i="4"/>
  <c r="H283" i="4"/>
  <c r="I283" i="4"/>
  <c r="K283" i="4"/>
  <c r="L283" i="4" s="1"/>
  <c r="B284" i="4"/>
  <c r="C284" i="4"/>
  <c r="D284" i="4"/>
  <c r="F284" i="4"/>
  <c r="G284" i="4"/>
  <c r="K284" i="4" s="1"/>
  <c r="L284" i="4" s="1"/>
  <c r="H284" i="4"/>
  <c r="I284" i="4"/>
  <c r="B285" i="4"/>
  <c r="C285" i="4"/>
  <c r="D285" i="4"/>
  <c r="F285" i="4"/>
  <c r="G285" i="4"/>
  <c r="H285" i="4"/>
  <c r="I285" i="4"/>
  <c r="K285" i="4"/>
  <c r="L285" i="4" s="1"/>
  <c r="B286" i="4"/>
  <c r="C286" i="4"/>
  <c r="D286" i="4"/>
  <c r="F286" i="4"/>
  <c r="G286" i="4"/>
  <c r="H286" i="4"/>
  <c r="I286" i="4"/>
  <c r="K286" i="4"/>
  <c r="L286" i="4" s="1"/>
  <c r="B287" i="4"/>
  <c r="C287" i="4"/>
  <c r="D287" i="4"/>
  <c r="F287" i="4"/>
  <c r="G287" i="4"/>
  <c r="H287" i="4"/>
  <c r="I287" i="4"/>
  <c r="K287" i="4"/>
  <c r="L287" i="4" s="1"/>
  <c r="B288" i="4"/>
  <c r="C288" i="4"/>
  <c r="D288" i="4"/>
  <c r="F288" i="4"/>
  <c r="G288" i="4"/>
  <c r="K288" i="4" s="1"/>
  <c r="L288" i="4" s="1"/>
  <c r="H288" i="4"/>
  <c r="I288" i="4"/>
  <c r="B289" i="4"/>
  <c r="C289" i="4"/>
  <c r="D289" i="4"/>
  <c r="F289" i="4"/>
  <c r="G289" i="4"/>
  <c r="H289" i="4"/>
  <c r="I289" i="4"/>
  <c r="K289" i="4"/>
  <c r="L289" i="4" s="1"/>
  <c r="B290" i="4"/>
  <c r="C290" i="4"/>
  <c r="D290" i="4"/>
  <c r="F290" i="4"/>
  <c r="G290" i="4"/>
  <c r="H290" i="4"/>
  <c r="I290" i="4"/>
  <c r="K290" i="4"/>
  <c r="L290" i="4" s="1"/>
  <c r="A3" i="3"/>
  <c r="B3" i="3"/>
  <c r="A4" i="3"/>
  <c r="B4" i="3"/>
  <c r="A5" i="3"/>
  <c r="B5" i="3"/>
  <c r="A6" i="3"/>
  <c r="B6" i="3"/>
  <c r="A7" i="3"/>
  <c r="B7" i="3"/>
  <c r="A8" i="3"/>
  <c r="B8" i="3"/>
  <c r="C10" i="4" s="1"/>
  <c r="A9" i="3"/>
  <c r="B9" i="3"/>
  <c r="A10" i="3"/>
  <c r="B10" i="3"/>
  <c r="A11" i="3"/>
  <c r="B11" i="3"/>
  <c r="A12" i="3"/>
  <c r="B12" i="3"/>
  <c r="A13" i="3"/>
  <c r="B13" i="3"/>
  <c r="A14" i="3"/>
  <c r="G16" i="4" s="1"/>
  <c r="K16" i="4" s="1"/>
  <c r="B14" i="3"/>
  <c r="C16" i="4" s="1"/>
  <c r="A15" i="3"/>
  <c r="B15" i="3"/>
  <c r="A16" i="3"/>
  <c r="B16" i="3"/>
  <c r="A17" i="3"/>
  <c r="B17" i="3"/>
  <c r="A18" i="3"/>
  <c r="B18" i="3"/>
  <c r="A19" i="3"/>
  <c r="B19" i="3"/>
  <c r="A20" i="3"/>
  <c r="B20" i="3"/>
  <c r="C22" i="4" s="1"/>
  <c r="A21" i="3"/>
  <c r="B21" i="3"/>
  <c r="A22" i="3"/>
  <c r="B22" i="3"/>
  <c r="A23" i="3"/>
  <c r="B23" i="3"/>
  <c r="A24" i="3"/>
  <c r="B24" i="3"/>
  <c r="A25" i="3"/>
  <c r="B25" i="3"/>
  <c r="A26" i="3"/>
  <c r="G28" i="4" s="1"/>
  <c r="K28" i="4" s="1"/>
  <c r="B26" i="3"/>
  <c r="C28" i="4" s="1"/>
  <c r="A27" i="3"/>
  <c r="B27" i="3"/>
  <c r="A28" i="3"/>
  <c r="B28" i="3"/>
  <c r="A29" i="3"/>
  <c r="B29" i="3"/>
  <c r="A30" i="3"/>
  <c r="B30" i="3"/>
  <c r="A31" i="3"/>
  <c r="B31" i="3"/>
  <c r="A32" i="3"/>
  <c r="B32" i="3"/>
  <c r="C34" i="4" s="1"/>
  <c r="A33" i="3"/>
  <c r="B33" i="3"/>
  <c r="A34" i="3"/>
  <c r="B34" i="3"/>
  <c r="A35" i="3"/>
  <c r="B35" i="3"/>
  <c r="A36" i="3"/>
  <c r="B36" i="3"/>
  <c r="A37" i="3"/>
  <c r="B37" i="3"/>
  <c r="A38" i="3"/>
  <c r="G40" i="4" s="1"/>
  <c r="K40" i="4" s="1"/>
  <c r="B38" i="3"/>
  <c r="C40" i="4" s="1"/>
  <c r="A39" i="3"/>
  <c r="B39" i="3"/>
  <c r="A40" i="3"/>
  <c r="B40" i="3"/>
  <c r="A41" i="3"/>
  <c r="B41" i="3"/>
  <c r="A42" i="3"/>
  <c r="B42" i="3"/>
  <c r="A43" i="3"/>
  <c r="B43" i="3"/>
  <c r="A44" i="3"/>
  <c r="B44" i="3"/>
  <c r="C46" i="4" s="1"/>
  <c r="A45" i="3"/>
  <c r="B45" i="3"/>
  <c r="A46" i="3"/>
  <c r="B46" i="3"/>
  <c r="A47" i="3"/>
  <c r="B47" i="3"/>
  <c r="A48" i="3"/>
  <c r="B48" i="3"/>
  <c r="A49" i="3"/>
  <c r="B49" i="3"/>
  <c r="A50" i="3"/>
  <c r="G52" i="4" s="1"/>
  <c r="K52" i="4" s="1"/>
  <c r="B50" i="3"/>
  <c r="C52" i="4" s="1"/>
  <c r="A51" i="3"/>
  <c r="B51" i="3"/>
  <c r="A52" i="3"/>
  <c r="B52" i="3"/>
  <c r="A53" i="3"/>
  <c r="B53" i="3"/>
  <c r="A54" i="3"/>
  <c r="B54" i="3"/>
  <c r="A55" i="3"/>
  <c r="B55" i="3"/>
  <c r="A56" i="3"/>
  <c r="B56" i="3"/>
  <c r="C58" i="4" s="1"/>
  <c r="A57" i="3"/>
  <c r="B57" i="3"/>
  <c r="A58" i="3"/>
  <c r="B58" i="3"/>
  <c r="A59" i="3"/>
  <c r="B59" i="3"/>
  <c r="A60" i="3"/>
  <c r="B60" i="3"/>
  <c r="A61" i="3"/>
  <c r="B61" i="3"/>
  <c r="A62" i="3"/>
  <c r="G64" i="4" s="1"/>
  <c r="K64" i="4" s="1"/>
  <c r="B62" i="3"/>
  <c r="C64" i="4" s="1"/>
  <c r="A63" i="3"/>
  <c r="B63" i="3"/>
  <c r="A64" i="3"/>
  <c r="B64" i="3"/>
  <c r="A65" i="3"/>
  <c r="B65" i="3"/>
  <c r="A66" i="3"/>
  <c r="B66" i="3"/>
  <c r="A67" i="3"/>
  <c r="B67" i="3"/>
  <c r="A68" i="3"/>
  <c r="B68" i="3"/>
  <c r="C70" i="4" s="1"/>
  <c r="A69" i="3"/>
  <c r="B69" i="3"/>
  <c r="A70" i="3"/>
  <c r="B70" i="3"/>
  <c r="A71" i="3"/>
  <c r="B71" i="3"/>
  <c r="A72" i="3"/>
  <c r="B72" i="3"/>
  <c r="A73" i="3"/>
  <c r="B73" i="3"/>
  <c r="A74" i="3"/>
  <c r="G76" i="4" s="1"/>
  <c r="K76" i="4" s="1"/>
  <c r="B74" i="3"/>
  <c r="C76" i="4" s="1"/>
  <c r="A75" i="3"/>
  <c r="B75" i="3"/>
  <c r="A76" i="3"/>
  <c r="B76" i="3"/>
  <c r="A77" i="3"/>
  <c r="B77" i="3"/>
  <c r="A78" i="3"/>
  <c r="B78" i="3"/>
  <c r="A79" i="3"/>
  <c r="B79" i="3"/>
  <c r="A80" i="3"/>
  <c r="B80" i="3"/>
  <c r="C82" i="4" s="1"/>
  <c r="A81" i="3"/>
  <c r="B81" i="3"/>
  <c r="A82" i="3"/>
  <c r="B82" i="3"/>
  <c r="A83" i="3"/>
  <c r="B83" i="3"/>
  <c r="A84" i="3"/>
  <c r="B84" i="3"/>
  <c r="A85" i="3"/>
  <c r="B85" i="3"/>
  <c r="A86" i="3"/>
  <c r="G88" i="4" s="1"/>
  <c r="K88" i="4" s="1"/>
  <c r="B86" i="3"/>
  <c r="C88" i="4" s="1"/>
  <c r="A87" i="3"/>
  <c r="B87" i="3"/>
  <c r="A88" i="3"/>
  <c r="B88" i="3"/>
  <c r="A89" i="3"/>
  <c r="B89" i="3"/>
  <c r="A90" i="3"/>
  <c r="B90" i="3"/>
  <c r="A91" i="3"/>
  <c r="B91" i="3"/>
  <c r="A92" i="3"/>
  <c r="B92" i="3"/>
  <c r="C94" i="4" s="1"/>
  <c r="A93" i="3"/>
  <c r="B93" i="3"/>
  <c r="A94" i="3"/>
  <c r="B94" i="3"/>
  <c r="A95" i="3"/>
  <c r="B95" i="3"/>
  <c r="A96" i="3"/>
  <c r="B96" i="3"/>
  <c r="A97" i="3"/>
  <c r="B97" i="3"/>
  <c r="A98" i="3"/>
  <c r="G100" i="4" s="1"/>
  <c r="K100" i="4" s="1"/>
  <c r="B98" i="3"/>
  <c r="C100" i="4" s="1"/>
  <c r="A99" i="3"/>
  <c r="B99" i="3"/>
  <c r="A100" i="3"/>
  <c r="B100" i="3"/>
  <c r="A101" i="3"/>
  <c r="B101" i="3"/>
  <c r="A102" i="3"/>
  <c r="B102" i="3"/>
  <c r="A103" i="3"/>
  <c r="B103" i="3"/>
  <c r="A104" i="3"/>
  <c r="B104" i="3"/>
  <c r="C106" i="4" s="1"/>
  <c r="A105" i="3"/>
  <c r="B105" i="3"/>
  <c r="A106" i="3"/>
  <c r="B106" i="3"/>
  <c r="A107" i="3"/>
  <c r="B107" i="3"/>
  <c r="A108" i="3"/>
  <c r="B108" i="3"/>
  <c r="A109" i="3"/>
  <c r="B109" i="3"/>
  <c r="A110" i="3"/>
  <c r="G112" i="4" s="1"/>
  <c r="K112" i="4" s="1"/>
  <c r="B110" i="3"/>
  <c r="C112" i="4" s="1"/>
  <c r="A111" i="3"/>
  <c r="B111" i="3"/>
  <c r="A112" i="3"/>
  <c r="B112" i="3"/>
  <c r="A113" i="3"/>
  <c r="B113" i="3"/>
  <c r="A114" i="3"/>
  <c r="B114" i="3"/>
  <c r="A115" i="3"/>
  <c r="B115" i="3"/>
  <c r="A116" i="3"/>
  <c r="B116" i="3"/>
  <c r="C118" i="4" s="1"/>
  <c r="A117" i="3"/>
  <c r="B117" i="3"/>
  <c r="A118" i="3"/>
  <c r="B118" i="3"/>
  <c r="A119" i="3"/>
  <c r="B119" i="3"/>
  <c r="A120" i="3"/>
  <c r="B120" i="3"/>
  <c r="A121" i="3"/>
  <c r="B121" i="3"/>
  <c r="A122" i="3"/>
  <c r="B122" i="3"/>
  <c r="A123" i="3"/>
  <c r="B123" i="3"/>
  <c r="A124" i="3"/>
  <c r="B124" i="3"/>
  <c r="A125" i="3"/>
  <c r="B125" i="3"/>
  <c r="A126" i="3"/>
  <c r="B126" i="3"/>
  <c r="A127" i="3"/>
  <c r="B127" i="3"/>
  <c r="A128" i="3"/>
  <c r="B128" i="3"/>
  <c r="A129" i="3"/>
  <c r="B129" i="3"/>
  <c r="A130" i="3"/>
  <c r="B130" i="3"/>
  <c r="A131" i="3"/>
  <c r="B131" i="3"/>
  <c r="A132" i="3"/>
  <c r="B132" i="3"/>
  <c r="A133" i="3"/>
  <c r="B133" i="3"/>
  <c r="A134" i="3"/>
  <c r="B134" i="3"/>
  <c r="A135" i="3"/>
  <c r="B135" i="3"/>
  <c r="A136" i="3"/>
  <c r="B136" i="3"/>
  <c r="A137" i="3"/>
  <c r="B137" i="3"/>
  <c r="A138" i="3"/>
  <c r="B138" i="3"/>
  <c r="A139" i="3"/>
  <c r="B139" i="3"/>
  <c r="A140" i="3"/>
  <c r="B140" i="3"/>
  <c r="A141" i="3"/>
  <c r="B141" i="3"/>
  <c r="A142" i="3"/>
  <c r="B142" i="3"/>
  <c r="A143" i="3"/>
  <c r="B143" i="3"/>
  <c r="A144" i="3"/>
  <c r="B144" i="3"/>
  <c r="A145" i="3"/>
  <c r="B145" i="3"/>
  <c r="A146" i="3"/>
  <c r="B146" i="3"/>
  <c r="A147" i="3"/>
  <c r="B147" i="3"/>
  <c r="A148" i="3"/>
  <c r="B148" i="3"/>
  <c r="A149" i="3"/>
  <c r="B149" i="3"/>
  <c r="K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4" i="4"/>
  <c r="G5" i="4"/>
  <c r="K5" i="4" s="1"/>
  <c r="L5" i="4" s="1"/>
  <c r="G6" i="4"/>
  <c r="K6" i="4" s="1"/>
  <c r="L6" i="4" s="1"/>
  <c r="G7" i="4"/>
  <c r="K7" i="4" s="1"/>
  <c r="L7" i="4" s="1"/>
  <c r="G8" i="4"/>
  <c r="K8" i="4" s="1"/>
  <c r="L8" i="4" s="1"/>
  <c r="G9" i="4"/>
  <c r="K9" i="4" s="1"/>
  <c r="L9" i="4" s="1"/>
  <c r="G10" i="4"/>
  <c r="K10" i="4" s="1"/>
  <c r="G11" i="4"/>
  <c r="K11" i="4" s="1"/>
  <c r="L11" i="4" s="1"/>
  <c r="G12" i="4"/>
  <c r="K12" i="4" s="1"/>
  <c r="L12" i="4" s="1"/>
  <c r="G13" i="4"/>
  <c r="K13" i="4" s="1"/>
  <c r="L13" i="4" s="1"/>
  <c r="G14" i="4"/>
  <c r="K14" i="4" s="1"/>
  <c r="L14" i="4" s="1"/>
  <c r="G15" i="4"/>
  <c r="K15" i="4" s="1"/>
  <c r="L15" i="4" s="1"/>
  <c r="G17" i="4"/>
  <c r="K17" i="4" s="1"/>
  <c r="L17" i="4" s="1"/>
  <c r="G18" i="4"/>
  <c r="K18" i="4" s="1"/>
  <c r="L18" i="4" s="1"/>
  <c r="G19" i="4"/>
  <c r="K19" i="4" s="1"/>
  <c r="L19" i="4" s="1"/>
  <c r="G20" i="4"/>
  <c r="K20" i="4" s="1"/>
  <c r="L20" i="4" s="1"/>
  <c r="G21" i="4"/>
  <c r="K21" i="4" s="1"/>
  <c r="L21" i="4" s="1"/>
  <c r="G22" i="4"/>
  <c r="K22" i="4" s="1"/>
  <c r="L22" i="4" s="1"/>
  <c r="G23" i="4"/>
  <c r="K23" i="4" s="1"/>
  <c r="L23" i="4" s="1"/>
  <c r="G24" i="4"/>
  <c r="K24" i="4" s="1"/>
  <c r="L24" i="4" s="1"/>
  <c r="G25" i="4"/>
  <c r="K25" i="4" s="1"/>
  <c r="L25" i="4" s="1"/>
  <c r="G26" i="4"/>
  <c r="K26" i="4" s="1"/>
  <c r="L26" i="4" s="1"/>
  <c r="G27" i="4"/>
  <c r="K27" i="4" s="1"/>
  <c r="L27" i="4" s="1"/>
  <c r="G29" i="4"/>
  <c r="K29" i="4" s="1"/>
  <c r="L29" i="4" s="1"/>
  <c r="G30" i="4"/>
  <c r="K30" i="4" s="1"/>
  <c r="L30" i="4" s="1"/>
  <c r="G31" i="4"/>
  <c r="K31" i="4" s="1"/>
  <c r="L31" i="4" s="1"/>
  <c r="G32" i="4"/>
  <c r="K32" i="4" s="1"/>
  <c r="L32" i="4" s="1"/>
  <c r="G33" i="4"/>
  <c r="K33" i="4" s="1"/>
  <c r="L33" i="4" s="1"/>
  <c r="G34" i="4"/>
  <c r="K34" i="4" s="1"/>
  <c r="G35" i="4"/>
  <c r="K35" i="4" s="1"/>
  <c r="L35" i="4" s="1"/>
  <c r="G36" i="4"/>
  <c r="K36" i="4" s="1"/>
  <c r="L36" i="4" s="1"/>
  <c r="G37" i="4"/>
  <c r="K37" i="4" s="1"/>
  <c r="L37" i="4" s="1"/>
  <c r="G38" i="4"/>
  <c r="K38" i="4" s="1"/>
  <c r="L38" i="4" s="1"/>
  <c r="G39" i="4"/>
  <c r="K39" i="4" s="1"/>
  <c r="L39" i="4" s="1"/>
  <c r="G41" i="4"/>
  <c r="K41" i="4" s="1"/>
  <c r="L41" i="4" s="1"/>
  <c r="G42" i="4"/>
  <c r="K42" i="4" s="1"/>
  <c r="L42" i="4" s="1"/>
  <c r="G43" i="4"/>
  <c r="K43" i="4" s="1"/>
  <c r="L43" i="4" s="1"/>
  <c r="G44" i="4"/>
  <c r="K44" i="4" s="1"/>
  <c r="L44" i="4" s="1"/>
  <c r="G45" i="4"/>
  <c r="K45" i="4" s="1"/>
  <c r="L45" i="4" s="1"/>
  <c r="G46" i="4"/>
  <c r="K46" i="4" s="1"/>
  <c r="G47" i="4"/>
  <c r="K47" i="4" s="1"/>
  <c r="L47" i="4" s="1"/>
  <c r="G48" i="4"/>
  <c r="K48" i="4" s="1"/>
  <c r="L48" i="4" s="1"/>
  <c r="G49" i="4"/>
  <c r="K49" i="4" s="1"/>
  <c r="L49" i="4" s="1"/>
  <c r="G50" i="4"/>
  <c r="K50" i="4" s="1"/>
  <c r="L50" i="4" s="1"/>
  <c r="G51" i="4"/>
  <c r="K51" i="4" s="1"/>
  <c r="L51" i="4" s="1"/>
  <c r="G53" i="4"/>
  <c r="K53" i="4" s="1"/>
  <c r="L53" i="4" s="1"/>
  <c r="G54" i="4"/>
  <c r="K54" i="4" s="1"/>
  <c r="L54" i="4" s="1"/>
  <c r="G55" i="4"/>
  <c r="K55" i="4" s="1"/>
  <c r="L55" i="4" s="1"/>
  <c r="G56" i="4"/>
  <c r="K56" i="4" s="1"/>
  <c r="L56" i="4" s="1"/>
  <c r="G57" i="4"/>
  <c r="K57" i="4" s="1"/>
  <c r="L57" i="4" s="1"/>
  <c r="G58" i="4"/>
  <c r="K58" i="4" s="1"/>
  <c r="G59" i="4"/>
  <c r="K59" i="4" s="1"/>
  <c r="L59" i="4" s="1"/>
  <c r="G60" i="4"/>
  <c r="K60" i="4" s="1"/>
  <c r="L60" i="4" s="1"/>
  <c r="G61" i="4"/>
  <c r="K61" i="4" s="1"/>
  <c r="L61" i="4" s="1"/>
  <c r="G62" i="4"/>
  <c r="K62" i="4" s="1"/>
  <c r="L62" i="4" s="1"/>
  <c r="G63" i="4"/>
  <c r="K63" i="4" s="1"/>
  <c r="L63" i="4" s="1"/>
  <c r="G65" i="4"/>
  <c r="K65" i="4" s="1"/>
  <c r="L65" i="4" s="1"/>
  <c r="G66" i="4"/>
  <c r="K66" i="4" s="1"/>
  <c r="L66" i="4" s="1"/>
  <c r="G67" i="4"/>
  <c r="K67" i="4" s="1"/>
  <c r="L67" i="4" s="1"/>
  <c r="G68" i="4"/>
  <c r="K68" i="4" s="1"/>
  <c r="L68" i="4" s="1"/>
  <c r="G69" i="4"/>
  <c r="K69" i="4" s="1"/>
  <c r="L69" i="4" s="1"/>
  <c r="G70" i="4"/>
  <c r="K70" i="4" s="1"/>
  <c r="G71" i="4"/>
  <c r="K71" i="4" s="1"/>
  <c r="L71" i="4" s="1"/>
  <c r="G72" i="4"/>
  <c r="K72" i="4" s="1"/>
  <c r="L72" i="4" s="1"/>
  <c r="G73" i="4"/>
  <c r="K73" i="4" s="1"/>
  <c r="L73" i="4" s="1"/>
  <c r="G74" i="4"/>
  <c r="K74" i="4" s="1"/>
  <c r="L74" i="4" s="1"/>
  <c r="G75" i="4"/>
  <c r="K75" i="4" s="1"/>
  <c r="L75" i="4" s="1"/>
  <c r="G77" i="4"/>
  <c r="K77" i="4" s="1"/>
  <c r="L77" i="4" s="1"/>
  <c r="G78" i="4"/>
  <c r="K78" i="4" s="1"/>
  <c r="L78" i="4" s="1"/>
  <c r="G79" i="4"/>
  <c r="K79" i="4" s="1"/>
  <c r="L79" i="4" s="1"/>
  <c r="G80" i="4"/>
  <c r="K80" i="4" s="1"/>
  <c r="L80" i="4" s="1"/>
  <c r="G81" i="4"/>
  <c r="K81" i="4" s="1"/>
  <c r="L81" i="4" s="1"/>
  <c r="G82" i="4"/>
  <c r="K82" i="4" s="1"/>
  <c r="G83" i="4"/>
  <c r="K83" i="4" s="1"/>
  <c r="L83" i="4" s="1"/>
  <c r="G84" i="4"/>
  <c r="K84" i="4" s="1"/>
  <c r="L84" i="4" s="1"/>
  <c r="G85" i="4"/>
  <c r="K85" i="4" s="1"/>
  <c r="L85" i="4" s="1"/>
  <c r="G86" i="4"/>
  <c r="K86" i="4" s="1"/>
  <c r="L86" i="4" s="1"/>
  <c r="G87" i="4"/>
  <c r="K87" i="4" s="1"/>
  <c r="L87" i="4" s="1"/>
  <c r="G89" i="4"/>
  <c r="K89" i="4" s="1"/>
  <c r="L89" i="4" s="1"/>
  <c r="G90" i="4"/>
  <c r="K90" i="4" s="1"/>
  <c r="L90" i="4" s="1"/>
  <c r="G91" i="4"/>
  <c r="K91" i="4" s="1"/>
  <c r="L91" i="4" s="1"/>
  <c r="G92" i="4"/>
  <c r="K92" i="4" s="1"/>
  <c r="L92" i="4" s="1"/>
  <c r="G93" i="4"/>
  <c r="K93" i="4" s="1"/>
  <c r="L93" i="4" s="1"/>
  <c r="G94" i="4"/>
  <c r="K94" i="4" s="1"/>
  <c r="G95" i="4"/>
  <c r="K95" i="4" s="1"/>
  <c r="L95" i="4" s="1"/>
  <c r="G96" i="4"/>
  <c r="K96" i="4" s="1"/>
  <c r="L96" i="4" s="1"/>
  <c r="G97" i="4"/>
  <c r="K97" i="4" s="1"/>
  <c r="L97" i="4" s="1"/>
  <c r="G98" i="4"/>
  <c r="K98" i="4" s="1"/>
  <c r="L98" i="4" s="1"/>
  <c r="G99" i="4"/>
  <c r="K99" i="4" s="1"/>
  <c r="L99" i="4" s="1"/>
  <c r="G101" i="4"/>
  <c r="K101" i="4" s="1"/>
  <c r="L101" i="4" s="1"/>
  <c r="G102" i="4"/>
  <c r="K102" i="4" s="1"/>
  <c r="L102" i="4" s="1"/>
  <c r="G103" i="4"/>
  <c r="K103" i="4" s="1"/>
  <c r="L103" i="4" s="1"/>
  <c r="G104" i="4"/>
  <c r="K104" i="4" s="1"/>
  <c r="L104" i="4" s="1"/>
  <c r="G105" i="4"/>
  <c r="K105" i="4" s="1"/>
  <c r="L105" i="4" s="1"/>
  <c r="G106" i="4"/>
  <c r="K106" i="4" s="1"/>
  <c r="G107" i="4"/>
  <c r="K107" i="4" s="1"/>
  <c r="L107" i="4" s="1"/>
  <c r="G108" i="4"/>
  <c r="K108" i="4" s="1"/>
  <c r="L108" i="4" s="1"/>
  <c r="G109" i="4"/>
  <c r="K109" i="4" s="1"/>
  <c r="L109" i="4" s="1"/>
  <c r="G110" i="4"/>
  <c r="K110" i="4" s="1"/>
  <c r="L110" i="4" s="1"/>
  <c r="G111" i="4"/>
  <c r="K111" i="4" s="1"/>
  <c r="L111" i="4" s="1"/>
  <c r="G113" i="4"/>
  <c r="K113" i="4" s="1"/>
  <c r="L113" i="4" s="1"/>
  <c r="G114" i="4"/>
  <c r="K114" i="4" s="1"/>
  <c r="L114" i="4" s="1"/>
  <c r="G115" i="4"/>
  <c r="K115" i="4" s="1"/>
  <c r="L115" i="4" s="1"/>
  <c r="G116" i="4"/>
  <c r="K116" i="4" s="1"/>
  <c r="L116" i="4" s="1"/>
  <c r="G117" i="4"/>
  <c r="K117" i="4" s="1"/>
  <c r="L117" i="4" s="1"/>
  <c r="G118" i="4"/>
  <c r="K118" i="4" s="1"/>
  <c r="G119" i="4"/>
  <c r="K119" i="4" s="1"/>
  <c r="L119" i="4" s="1"/>
  <c r="G120" i="4"/>
  <c r="K120" i="4" s="1"/>
  <c r="L120" i="4" s="1"/>
  <c r="G121" i="4"/>
  <c r="K121" i="4" s="1"/>
  <c r="L121" i="4" s="1"/>
  <c r="G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4" i="4"/>
  <c r="C5" i="4"/>
  <c r="C6" i="4"/>
  <c r="C7" i="4"/>
  <c r="C8" i="4"/>
  <c r="C9" i="4"/>
  <c r="C11" i="4"/>
  <c r="C12" i="4"/>
  <c r="C13" i="4"/>
  <c r="C14" i="4"/>
  <c r="C15" i="4"/>
  <c r="C17" i="4"/>
  <c r="C18" i="4"/>
  <c r="C19" i="4"/>
  <c r="C20" i="4"/>
  <c r="C21" i="4"/>
  <c r="C23" i="4"/>
  <c r="C24" i="4"/>
  <c r="C25" i="4"/>
  <c r="C26" i="4"/>
  <c r="C27" i="4"/>
  <c r="C29" i="4"/>
  <c r="C30" i="4"/>
  <c r="C31" i="4"/>
  <c r="C32" i="4"/>
  <c r="C33" i="4"/>
  <c r="C35" i="4"/>
  <c r="C36" i="4"/>
  <c r="C37" i="4"/>
  <c r="C38" i="4"/>
  <c r="C39" i="4"/>
  <c r="C41" i="4"/>
  <c r="C42" i="4"/>
  <c r="C43" i="4"/>
  <c r="C44" i="4"/>
  <c r="C45" i="4"/>
  <c r="C47" i="4"/>
  <c r="C48" i="4"/>
  <c r="C49" i="4"/>
  <c r="C50" i="4"/>
  <c r="C51" i="4"/>
  <c r="C53" i="4"/>
  <c r="C54" i="4"/>
  <c r="C55" i="4"/>
  <c r="C56" i="4"/>
  <c r="C57" i="4"/>
  <c r="C59" i="4"/>
  <c r="C60" i="4"/>
  <c r="C61" i="4"/>
  <c r="C62" i="4"/>
  <c r="C63" i="4"/>
  <c r="C65" i="4"/>
  <c r="C66" i="4"/>
  <c r="C67" i="4"/>
  <c r="C68" i="4"/>
  <c r="C69" i="4"/>
  <c r="C71" i="4"/>
  <c r="C72" i="4"/>
  <c r="C73" i="4"/>
  <c r="C74" i="4"/>
  <c r="C75" i="4"/>
  <c r="C77" i="4"/>
  <c r="C78" i="4"/>
  <c r="C79" i="4"/>
  <c r="C80" i="4"/>
  <c r="C81" i="4"/>
  <c r="C83" i="4"/>
  <c r="C84" i="4"/>
  <c r="C85" i="4"/>
  <c r="C86" i="4"/>
  <c r="C87" i="4"/>
  <c r="C89" i="4"/>
  <c r="C90" i="4"/>
  <c r="C91" i="4"/>
  <c r="C92" i="4"/>
  <c r="C93" i="4"/>
  <c r="C95" i="4"/>
  <c r="C96" i="4"/>
  <c r="C97" i="4"/>
  <c r="C98" i="4"/>
  <c r="C99" i="4"/>
  <c r="C101" i="4"/>
  <c r="C102" i="4"/>
  <c r="C103" i="4"/>
  <c r="C104" i="4"/>
  <c r="C105" i="4"/>
  <c r="C107" i="4"/>
  <c r="C108" i="4"/>
  <c r="C109" i="4"/>
  <c r="C110" i="4"/>
  <c r="C111" i="4"/>
  <c r="C113" i="4"/>
  <c r="C114" i="4"/>
  <c r="C115" i="4"/>
  <c r="C116" i="4"/>
  <c r="C117" i="4"/>
  <c r="C119" i="4"/>
  <c r="C120" i="4"/>
  <c r="C121" i="4"/>
  <c r="C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4" i="4"/>
  <c r="L4" i="4"/>
  <c r="B2" i="3"/>
  <c r="A2" i="3"/>
  <c r="B3" i="1"/>
  <c r="B4" i="1"/>
  <c r="B5" i="1"/>
  <c r="B6" i="1"/>
  <c r="B7" i="1"/>
  <c r="B8" i="1"/>
  <c r="C10" i="2" s="1"/>
  <c r="L10" i="2" s="1"/>
  <c r="B9" i="1"/>
  <c r="B10" i="1"/>
  <c r="B11" i="1"/>
  <c r="B12" i="1"/>
  <c r="B13" i="1"/>
  <c r="B14" i="1"/>
  <c r="C16" i="2" s="1"/>
  <c r="L16" i="2" s="1"/>
  <c r="B15" i="1"/>
  <c r="B16" i="1"/>
  <c r="B17" i="1"/>
  <c r="B18" i="1"/>
  <c r="B19" i="1"/>
  <c r="B20" i="1"/>
  <c r="C22" i="2" s="1"/>
  <c r="L22" i="2" s="1"/>
  <c r="B21" i="1"/>
  <c r="B22" i="1"/>
  <c r="B23" i="1"/>
  <c r="B24" i="1"/>
  <c r="B25" i="1"/>
  <c r="B26" i="1"/>
  <c r="B27" i="1"/>
  <c r="B28" i="1"/>
  <c r="B29" i="1"/>
  <c r="B30" i="1"/>
  <c r="B31" i="1"/>
  <c r="B32" i="1"/>
  <c r="C34" i="2" s="1"/>
  <c r="L34" i="2" s="1"/>
  <c r="B33" i="1"/>
  <c r="B34" i="1"/>
  <c r="B35" i="1"/>
  <c r="B36" i="1"/>
  <c r="B37" i="1"/>
  <c r="B38" i="1"/>
  <c r="C40" i="2" s="1"/>
  <c r="L40" i="2" s="1"/>
  <c r="B39" i="1"/>
  <c r="B40" i="1"/>
  <c r="B41" i="1"/>
  <c r="B42" i="1"/>
  <c r="B43" i="1"/>
  <c r="B44" i="1"/>
  <c r="C46" i="2" s="1"/>
  <c r="L46" i="2" s="1"/>
  <c r="B45" i="1"/>
  <c r="B46" i="1"/>
  <c r="B47" i="1"/>
  <c r="B48" i="1"/>
  <c r="B49" i="1"/>
  <c r="B50" i="1"/>
  <c r="C52" i="2" s="1"/>
  <c r="L52" i="2" s="1"/>
  <c r="B51" i="1"/>
  <c r="B52" i="1"/>
  <c r="B53" i="1"/>
  <c r="B54" i="1"/>
  <c r="B55" i="1"/>
  <c r="B56" i="1"/>
  <c r="C58" i="2" s="1"/>
  <c r="L58" i="2" s="1"/>
  <c r="B57" i="1"/>
  <c r="B58" i="1"/>
  <c r="B59" i="1"/>
  <c r="B60" i="1"/>
  <c r="B61" i="1"/>
  <c r="B62" i="1"/>
  <c r="C64" i="2" s="1"/>
  <c r="L64" i="2" s="1"/>
  <c r="B63" i="1"/>
  <c r="B64" i="1"/>
  <c r="B65" i="1"/>
  <c r="B66" i="1"/>
  <c r="B67" i="1"/>
  <c r="B68" i="1"/>
  <c r="C70" i="2" s="1"/>
  <c r="L70" i="2" s="1"/>
  <c r="B69" i="1"/>
  <c r="B70" i="1"/>
  <c r="B71" i="1"/>
  <c r="B72" i="1"/>
  <c r="B73" i="1"/>
  <c r="B74" i="1"/>
  <c r="C76" i="2" s="1"/>
  <c r="L76" i="2" s="1"/>
  <c r="B75" i="1"/>
  <c r="B76" i="1"/>
  <c r="B77" i="1"/>
  <c r="B78" i="1"/>
  <c r="B79" i="1"/>
  <c r="B80" i="1"/>
  <c r="C82" i="2" s="1"/>
  <c r="L82" i="2" s="1"/>
  <c r="B81" i="1"/>
  <c r="B82" i="1"/>
  <c r="B83" i="1"/>
  <c r="B84" i="1"/>
  <c r="B85" i="1"/>
  <c r="B86" i="1"/>
  <c r="C88" i="2" s="1"/>
  <c r="L88" i="2" s="1"/>
  <c r="B87" i="1"/>
  <c r="B88" i="1"/>
  <c r="B89" i="1"/>
  <c r="B90" i="1"/>
  <c r="B91" i="1"/>
  <c r="B92" i="1"/>
  <c r="C94" i="2" s="1"/>
  <c r="L94" i="2" s="1"/>
  <c r="B93" i="1"/>
  <c r="B94" i="1"/>
  <c r="B95" i="1"/>
  <c r="B96" i="1"/>
  <c r="B97" i="1"/>
  <c r="B98" i="1"/>
  <c r="C100" i="2" s="1"/>
  <c r="L100" i="2" s="1"/>
  <c r="B99" i="1"/>
  <c r="B100" i="1"/>
  <c r="B101" i="1"/>
  <c r="B102" i="1"/>
  <c r="B103" i="1"/>
  <c r="B104" i="1"/>
  <c r="C106" i="2" s="1"/>
  <c r="L106" i="2" s="1"/>
  <c r="B105" i="1"/>
  <c r="B106" i="1"/>
  <c r="B107" i="1"/>
  <c r="B108" i="1"/>
  <c r="B109" i="1"/>
  <c r="B110" i="1"/>
  <c r="B111" i="1"/>
  <c r="B112" i="1"/>
  <c r="B113" i="1"/>
  <c r="B114" i="1"/>
  <c r="B115" i="1"/>
  <c r="B116" i="1"/>
  <c r="C118" i="2" s="1"/>
  <c r="L118" i="2" s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C28" i="2"/>
  <c r="L28" i="2" s="1"/>
  <c r="C112" i="2"/>
  <c r="L112" i="2" s="1"/>
  <c r="B2" i="1"/>
  <c r="C13" i="2"/>
  <c r="L13" i="2" s="1"/>
  <c r="C25" i="2"/>
  <c r="L25" i="2" s="1"/>
  <c r="C37" i="2"/>
  <c r="L37" i="2" s="1"/>
  <c r="C49" i="2"/>
  <c r="L49" i="2" s="1"/>
  <c r="C61" i="2"/>
  <c r="L61" i="2" s="1"/>
  <c r="C73" i="2"/>
  <c r="L73" i="2" s="1"/>
  <c r="C75" i="2"/>
  <c r="L75" i="2" s="1"/>
  <c r="C85" i="2"/>
  <c r="L85" i="2" s="1"/>
  <c r="C87" i="2"/>
  <c r="L87" i="2" s="1"/>
  <c r="C97" i="2"/>
  <c r="L97" i="2" s="1"/>
  <c r="C99" i="2"/>
  <c r="L99" i="2" s="1"/>
  <c r="C109" i="2"/>
  <c r="L109" i="2" s="1"/>
  <c r="C111" i="2"/>
  <c r="L111" i="2" s="1"/>
  <c r="C121" i="2"/>
  <c r="L121" i="2" s="1"/>
  <c r="C15" i="2"/>
  <c r="L15" i="2" s="1"/>
  <c r="C27" i="2"/>
  <c r="L27" i="2" s="1"/>
  <c r="C51" i="2"/>
  <c r="L51" i="2" s="1"/>
  <c r="C123" i="2"/>
  <c r="L123" i="2" s="1"/>
  <c r="C39" i="2"/>
  <c r="L39" i="2" s="1"/>
  <c r="C63" i="2"/>
  <c r="L63" i="2" s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4" i="2"/>
  <c r="C5" i="2"/>
  <c r="L5" i="2" s="1"/>
  <c r="C6" i="2"/>
  <c r="L6" i="2" s="1"/>
  <c r="C7" i="2"/>
  <c r="L7" i="2" s="1"/>
  <c r="C8" i="2"/>
  <c r="L8" i="2" s="1"/>
  <c r="C9" i="2"/>
  <c r="L9" i="2" s="1"/>
  <c r="C11" i="2"/>
  <c r="L11" i="2" s="1"/>
  <c r="C12" i="2"/>
  <c r="L12" i="2" s="1"/>
  <c r="C14" i="2"/>
  <c r="L14" i="2" s="1"/>
  <c r="C17" i="2"/>
  <c r="L17" i="2" s="1"/>
  <c r="C18" i="2"/>
  <c r="L18" i="2" s="1"/>
  <c r="C19" i="2"/>
  <c r="L19" i="2" s="1"/>
  <c r="C20" i="2"/>
  <c r="L20" i="2" s="1"/>
  <c r="C21" i="2"/>
  <c r="L21" i="2" s="1"/>
  <c r="C23" i="2"/>
  <c r="L23" i="2" s="1"/>
  <c r="C24" i="2"/>
  <c r="L24" i="2" s="1"/>
  <c r="C26" i="2"/>
  <c r="L26" i="2" s="1"/>
  <c r="C29" i="2"/>
  <c r="L29" i="2" s="1"/>
  <c r="C30" i="2"/>
  <c r="L30" i="2" s="1"/>
  <c r="C31" i="2"/>
  <c r="L31" i="2" s="1"/>
  <c r="C32" i="2"/>
  <c r="L32" i="2" s="1"/>
  <c r="C33" i="2"/>
  <c r="L33" i="2" s="1"/>
  <c r="C35" i="2"/>
  <c r="L35" i="2" s="1"/>
  <c r="C36" i="2"/>
  <c r="L36" i="2" s="1"/>
  <c r="C38" i="2"/>
  <c r="L38" i="2" s="1"/>
  <c r="C41" i="2"/>
  <c r="L41" i="2" s="1"/>
  <c r="C42" i="2"/>
  <c r="L42" i="2" s="1"/>
  <c r="C43" i="2"/>
  <c r="L43" i="2" s="1"/>
  <c r="C44" i="2"/>
  <c r="L44" i="2" s="1"/>
  <c r="C45" i="2"/>
  <c r="L45" i="2" s="1"/>
  <c r="C47" i="2"/>
  <c r="L47" i="2" s="1"/>
  <c r="C48" i="2"/>
  <c r="L48" i="2" s="1"/>
  <c r="C50" i="2"/>
  <c r="L50" i="2" s="1"/>
  <c r="C53" i="2"/>
  <c r="L53" i="2" s="1"/>
  <c r="C54" i="2"/>
  <c r="L54" i="2" s="1"/>
  <c r="C55" i="2"/>
  <c r="L55" i="2" s="1"/>
  <c r="C56" i="2"/>
  <c r="L56" i="2" s="1"/>
  <c r="C57" i="2"/>
  <c r="L57" i="2" s="1"/>
  <c r="C59" i="2"/>
  <c r="L59" i="2" s="1"/>
  <c r="C60" i="2"/>
  <c r="L60" i="2" s="1"/>
  <c r="C62" i="2"/>
  <c r="L62" i="2" s="1"/>
  <c r="C65" i="2"/>
  <c r="L65" i="2" s="1"/>
  <c r="C66" i="2"/>
  <c r="L66" i="2" s="1"/>
  <c r="C67" i="2"/>
  <c r="L67" i="2" s="1"/>
  <c r="C68" i="2"/>
  <c r="L68" i="2" s="1"/>
  <c r="C69" i="2"/>
  <c r="L69" i="2" s="1"/>
  <c r="C71" i="2"/>
  <c r="L71" i="2" s="1"/>
  <c r="C72" i="2"/>
  <c r="L72" i="2" s="1"/>
  <c r="C74" i="2"/>
  <c r="L74" i="2" s="1"/>
  <c r="C77" i="2"/>
  <c r="L77" i="2" s="1"/>
  <c r="C78" i="2"/>
  <c r="L78" i="2" s="1"/>
  <c r="C79" i="2"/>
  <c r="L79" i="2" s="1"/>
  <c r="C80" i="2"/>
  <c r="L80" i="2" s="1"/>
  <c r="C81" i="2"/>
  <c r="L81" i="2" s="1"/>
  <c r="C83" i="2"/>
  <c r="L83" i="2" s="1"/>
  <c r="C84" i="2"/>
  <c r="L84" i="2" s="1"/>
  <c r="C86" i="2"/>
  <c r="L86" i="2" s="1"/>
  <c r="C89" i="2"/>
  <c r="L89" i="2" s="1"/>
  <c r="C90" i="2"/>
  <c r="L90" i="2" s="1"/>
  <c r="C91" i="2"/>
  <c r="L91" i="2" s="1"/>
  <c r="C92" i="2"/>
  <c r="L92" i="2" s="1"/>
  <c r="C93" i="2"/>
  <c r="L93" i="2" s="1"/>
  <c r="C95" i="2"/>
  <c r="L95" i="2" s="1"/>
  <c r="C96" i="2"/>
  <c r="L96" i="2" s="1"/>
  <c r="C98" i="2"/>
  <c r="L98" i="2" s="1"/>
  <c r="C101" i="2"/>
  <c r="L101" i="2" s="1"/>
  <c r="C102" i="2"/>
  <c r="L102" i="2" s="1"/>
  <c r="C103" i="2"/>
  <c r="L103" i="2" s="1"/>
  <c r="C104" i="2"/>
  <c r="L104" i="2" s="1"/>
  <c r="C105" i="2"/>
  <c r="L105" i="2" s="1"/>
  <c r="C107" i="2"/>
  <c r="L107" i="2" s="1"/>
  <c r="C108" i="2"/>
  <c r="L108" i="2" s="1"/>
  <c r="C110" i="2"/>
  <c r="L110" i="2" s="1"/>
  <c r="C113" i="2"/>
  <c r="L113" i="2" s="1"/>
  <c r="C114" i="2"/>
  <c r="L114" i="2" s="1"/>
  <c r="C115" i="2"/>
  <c r="L115" i="2" s="1"/>
  <c r="C116" i="2"/>
  <c r="L116" i="2" s="1"/>
  <c r="C117" i="2"/>
  <c r="L117" i="2" s="1"/>
  <c r="C119" i="2"/>
  <c r="L119" i="2" s="1"/>
  <c r="C120" i="2"/>
  <c r="L120" i="2" s="1"/>
  <c r="C122" i="2"/>
  <c r="L122" i="2" s="1"/>
  <c r="C4" i="2"/>
  <c r="L4" i="2" s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4" i="2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37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2" i="1"/>
  <c r="L127" i="4" l="1"/>
  <c r="L16" i="4"/>
  <c r="L46" i="4"/>
  <c r="L34" i="4"/>
  <c r="L88" i="4"/>
  <c r="L70" i="4"/>
  <c r="L112" i="4"/>
  <c r="L28" i="4"/>
  <c r="L58" i="4"/>
  <c r="L82" i="4"/>
  <c r="L40" i="4"/>
  <c r="L94" i="4"/>
  <c r="L106" i="4"/>
  <c r="L100" i="4"/>
  <c r="L76" i="4"/>
  <c r="L118" i="4"/>
  <c r="L64" i="4"/>
  <c r="L52" i="4"/>
  <c r="L10" i="4"/>
</calcChain>
</file>

<file path=xl/sharedStrings.xml><?xml version="1.0" encoding="utf-8"?>
<sst xmlns="http://schemas.openxmlformats.org/spreadsheetml/2006/main" count="6312" uniqueCount="1226">
  <si>
    <t>CODIGO</t>
  </si>
  <si>
    <t>TIPO DE MOVIMIENTO</t>
  </si>
  <si>
    <t>TIPO DE CAPTURA</t>
  </si>
  <si>
    <t>TRANSACCION</t>
  </si>
  <si>
    <t>FECHA DE TRANSACCION</t>
  </si>
  <si>
    <t>HORA DE TRANSACCION</t>
  </si>
  <si>
    <t>FECHA DE CIERRE DE LOTE</t>
  </si>
  <si>
    <t>FECHA DE PROCESO</t>
  </si>
  <si>
    <t>FECHA DE ABONO</t>
  </si>
  <si>
    <t>ESTADO</t>
  </si>
  <si>
    <t>IMPORTE</t>
  </si>
  <si>
    <t>COMISION</t>
  </si>
  <si>
    <t>IGV</t>
  </si>
  <si>
    <t>IMPORTE NETO</t>
  </si>
  <si>
    <t>ABONO DEL LOTE</t>
  </si>
  <si>
    <t>NUM DE LOTE</t>
  </si>
  <si>
    <t>TERMINAL</t>
  </si>
  <si>
    <t>NUM DE REF (VOUCHER)</t>
  </si>
  <si>
    <t>MARCA DE TARJETA</t>
  </si>
  <si>
    <t>NUM DE TARJETA</t>
  </si>
  <si>
    <t>CODIGO DE AUTORIZACION</t>
  </si>
  <si>
    <t>CUOTAS</t>
  </si>
  <si>
    <t>OBSERVACIONES</t>
  </si>
  <si>
    <t>MONEDA</t>
  </si>
  <si>
    <t>SERIE TERMINAL</t>
  </si>
  <si>
    <t>005042111</t>
  </si>
  <si>
    <t>Abono</t>
  </si>
  <si>
    <t>POS CONTACTLESS CHIP</t>
  </si>
  <si>
    <t>Compras</t>
  </si>
  <si>
    <t>02/01/2026</t>
  </si>
  <si>
    <t>18:36:19</t>
  </si>
  <si>
    <t>05/01/2026</t>
  </si>
  <si>
    <t>Procesado</t>
  </si>
  <si>
    <t>0794</t>
  </si>
  <si>
    <t>PS0001</t>
  </si>
  <si>
    <t>0005417</t>
  </si>
  <si>
    <t>VISA</t>
  </si>
  <si>
    <t>421355******7052</t>
  </si>
  <si>
    <t>014280</t>
  </si>
  <si>
    <t>CD8S9119</t>
  </si>
  <si>
    <t>15:47:37</t>
  </si>
  <si>
    <t>0005415</t>
  </si>
  <si>
    <t>438168******6085</t>
  </si>
  <si>
    <t>POS QR</t>
  </si>
  <si>
    <t>12:23:07</t>
  </si>
  <si>
    <t>001LL3</t>
  </si>
  <si>
    <t>455788******2580</t>
  </si>
  <si>
    <t>088495</t>
  </si>
  <si>
    <t>MPP001LL3</t>
  </si>
  <si>
    <t>14:48:18</t>
  </si>
  <si>
    <t>06/01/2026</t>
  </si>
  <si>
    <t>0795</t>
  </si>
  <si>
    <t>0005431</t>
  </si>
  <si>
    <t>455788******9524</t>
  </si>
  <si>
    <t>073489</t>
  </si>
  <si>
    <t>14:11:54</t>
  </si>
  <si>
    <t>455788******0875</t>
  </si>
  <si>
    <t>17:12:55</t>
  </si>
  <si>
    <t>455788******1929</t>
  </si>
  <si>
    <t>16:22:54</t>
  </si>
  <si>
    <t>455788******4453</t>
  </si>
  <si>
    <t>E-COMMERCE</t>
  </si>
  <si>
    <t>18:23:54</t>
  </si>
  <si>
    <t>MASTERCARD</t>
  </si>
  <si>
    <t>553650******8893</t>
  </si>
  <si>
    <t>PAYZEN</t>
  </si>
  <si>
    <t>POS VIRTUAL</t>
  </si>
  <si>
    <t>18:52:21</t>
  </si>
  <si>
    <t>414791******4452</t>
  </si>
  <si>
    <t>046449</t>
  </si>
  <si>
    <t>17:55:18</t>
  </si>
  <si>
    <t>07/01/2026</t>
  </si>
  <si>
    <t>0796</t>
  </si>
  <si>
    <t>0005462</t>
  </si>
  <si>
    <t>529206******6836</t>
  </si>
  <si>
    <t>R00364</t>
  </si>
  <si>
    <t>17:47:44</t>
  </si>
  <si>
    <t>0005457</t>
  </si>
  <si>
    <t>455788******3189</t>
  </si>
  <si>
    <t>17:27:26</t>
  </si>
  <si>
    <t>455788******7854</t>
  </si>
  <si>
    <t>11:38:34</t>
  </si>
  <si>
    <t>491246******4828</t>
  </si>
  <si>
    <t>071506</t>
  </si>
  <si>
    <t>10:07:08</t>
  </si>
  <si>
    <t>0003644</t>
  </si>
  <si>
    <t>045652</t>
  </si>
  <si>
    <t>17:34:17</t>
  </si>
  <si>
    <t>414791******4652</t>
  </si>
  <si>
    <t>10:51:52</t>
  </si>
  <si>
    <t>491909******6875</t>
  </si>
  <si>
    <t>17:27:56</t>
  </si>
  <si>
    <t>08/01/2026</t>
  </si>
  <si>
    <t>0797</t>
  </si>
  <si>
    <t>0005486</t>
  </si>
  <si>
    <t>428078******6605</t>
  </si>
  <si>
    <t>008053</t>
  </si>
  <si>
    <t>15:13:31</t>
  </si>
  <si>
    <t>0005475</t>
  </si>
  <si>
    <t>404071******4267</t>
  </si>
  <si>
    <t>044933</t>
  </si>
  <si>
    <t>15:44:38</t>
  </si>
  <si>
    <t>455788******6635</t>
  </si>
  <si>
    <t>15:34:10</t>
  </si>
  <si>
    <t>455788******4772</t>
  </si>
  <si>
    <t>15:41:47</t>
  </si>
  <si>
    <t>14:38:18</t>
  </si>
  <si>
    <t>428082******1706</t>
  </si>
  <si>
    <t>000573</t>
  </si>
  <si>
    <t>18:34:17</t>
  </si>
  <si>
    <t>424138******4092</t>
  </si>
  <si>
    <t>039895</t>
  </si>
  <si>
    <t>03</t>
  </si>
  <si>
    <t>11:59:54</t>
  </si>
  <si>
    <t>09/01/2026</t>
  </si>
  <si>
    <t>0798</t>
  </si>
  <si>
    <t>455788******3029</t>
  </si>
  <si>
    <t>082804</t>
  </si>
  <si>
    <t>15:18:37</t>
  </si>
  <si>
    <t>455788******8185</t>
  </si>
  <si>
    <t>17:33:05</t>
  </si>
  <si>
    <t>455788******1751</t>
  </si>
  <si>
    <t>13:04:23</t>
  </si>
  <si>
    <t>455788******0155</t>
  </si>
  <si>
    <t>16:21:12</t>
  </si>
  <si>
    <t>455788******6751</t>
  </si>
  <si>
    <t>13:10:31</t>
  </si>
  <si>
    <t>414791******8642</t>
  </si>
  <si>
    <t>13:49:15</t>
  </si>
  <si>
    <t>447409******1148</t>
  </si>
  <si>
    <t>18:39:44</t>
  </si>
  <si>
    <t>0005512</t>
  </si>
  <si>
    <t>463402******7204</t>
  </si>
  <si>
    <t>007371</t>
  </si>
  <si>
    <t>15:52:19</t>
  </si>
  <si>
    <t>10/01/2026</t>
  </si>
  <si>
    <t>12/01/2026</t>
  </si>
  <si>
    <t>0799</t>
  </si>
  <si>
    <t>455788******6982</t>
  </si>
  <si>
    <t>17:08:43</t>
  </si>
  <si>
    <t>455788******1669</t>
  </si>
  <si>
    <t>11:39:27</t>
  </si>
  <si>
    <t>491246******0109</t>
  </si>
  <si>
    <t>078904</t>
  </si>
  <si>
    <t>15:13:20</t>
  </si>
  <si>
    <t>455788******2679</t>
  </si>
  <si>
    <t>16:08:10</t>
  </si>
  <si>
    <t>0005531</t>
  </si>
  <si>
    <t>447409******9425</t>
  </si>
  <si>
    <t>18:07:31</t>
  </si>
  <si>
    <t>13/01/2026</t>
  </si>
  <si>
    <t>0800</t>
  </si>
  <si>
    <t>0005563</t>
  </si>
  <si>
    <t>447411******8080</t>
  </si>
  <si>
    <t>17:40:39</t>
  </si>
  <si>
    <t>0005558</t>
  </si>
  <si>
    <t>447410******2212</t>
  </si>
  <si>
    <t>12:18:55</t>
  </si>
  <si>
    <t>0005549</t>
  </si>
  <si>
    <t>407876******1422</t>
  </si>
  <si>
    <t>13:02:01</t>
  </si>
  <si>
    <t>455788******5888</t>
  </si>
  <si>
    <t>17:44:15</t>
  </si>
  <si>
    <t>455788******9371</t>
  </si>
  <si>
    <t>14:53:14</t>
  </si>
  <si>
    <t>455788******1737</t>
  </si>
  <si>
    <t>13:26:25</t>
  </si>
  <si>
    <t>400917******9389</t>
  </si>
  <si>
    <t>074812</t>
  </si>
  <si>
    <t>16:48:42</t>
  </si>
  <si>
    <t>14/01/2026</t>
  </si>
  <si>
    <t>0801</t>
  </si>
  <si>
    <t>0005576</t>
  </si>
  <si>
    <t>491909******1236</t>
  </si>
  <si>
    <t>17:05:06</t>
  </si>
  <si>
    <t>455788******4186</t>
  </si>
  <si>
    <t>16:53:49</t>
  </si>
  <si>
    <t>455788******7767</t>
  </si>
  <si>
    <t>11:22:01</t>
  </si>
  <si>
    <t>553650******2112</t>
  </si>
  <si>
    <t>01</t>
  </si>
  <si>
    <t>17:27:29</t>
  </si>
  <si>
    <t>15/01/2026</t>
  </si>
  <si>
    <t>0802</t>
  </si>
  <si>
    <t>455788******8212</t>
  </si>
  <si>
    <t>11:29:56</t>
  </si>
  <si>
    <t>455788******6827</t>
  </si>
  <si>
    <t>087426</t>
  </si>
  <si>
    <t>16:56:39</t>
  </si>
  <si>
    <t>16:49:50</t>
  </si>
  <si>
    <t>428076******0821</t>
  </si>
  <si>
    <t>008087</t>
  </si>
  <si>
    <t>18:22:54</t>
  </si>
  <si>
    <t>424138******1277</t>
  </si>
  <si>
    <t>035333</t>
  </si>
  <si>
    <t>15:55:12</t>
  </si>
  <si>
    <t>16/01/2026</t>
  </si>
  <si>
    <t>0803</t>
  </si>
  <si>
    <t>0005636</t>
  </si>
  <si>
    <t>421410******0724</t>
  </si>
  <si>
    <t>077725</t>
  </si>
  <si>
    <t>15:07:08</t>
  </si>
  <si>
    <t>0005631</t>
  </si>
  <si>
    <t>15:02:26</t>
  </si>
  <si>
    <t>0005629</t>
  </si>
  <si>
    <t>447410******5479</t>
  </si>
  <si>
    <t>14:21:07</t>
  </si>
  <si>
    <t>0005620</t>
  </si>
  <si>
    <t>511842******4429</t>
  </si>
  <si>
    <t>060178</t>
  </si>
  <si>
    <t>18:10:26</t>
  </si>
  <si>
    <t>421355******8351</t>
  </si>
  <si>
    <t>17:44:53</t>
  </si>
  <si>
    <t>455788******5287</t>
  </si>
  <si>
    <t>15:42:35</t>
  </si>
  <si>
    <t>455788******6110</t>
  </si>
  <si>
    <t>14:26:54</t>
  </si>
  <si>
    <t>455788******2902</t>
  </si>
  <si>
    <t>14:39:45</t>
  </si>
  <si>
    <t>12:07:54</t>
  </si>
  <si>
    <t>455788******9084</t>
  </si>
  <si>
    <t>099353</t>
  </si>
  <si>
    <t>11:56:48</t>
  </si>
  <si>
    <t>455788******8796</t>
  </si>
  <si>
    <t>095106</t>
  </si>
  <si>
    <t>17:46:02</t>
  </si>
  <si>
    <t>19/01/2026</t>
  </si>
  <si>
    <t>0804</t>
  </si>
  <si>
    <t>0005665</t>
  </si>
  <si>
    <t>421410******6395</t>
  </si>
  <si>
    <t>096482</t>
  </si>
  <si>
    <t>14:22:24</t>
  </si>
  <si>
    <t>0005663</t>
  </si>
  <si>
    <t>414791******7569</t>
  </si>
  <si>
    <t>12:15:34</t>
  </si>
  <si>
    <t>0005654</t>
  </si>
  <si>
    <t>11:28:29</t>
  </si>
  <si>
    <t>0005652</t>
  </si>
  <si>
    <t>421355******8148</t>
  </si>
  <si>
    <t>14:17:37</t>
  </si>
  <si>
    <t>455788******8436</t>
  </si>
  <si>
    <t>18:18:07</t>
  </si>
  <si>
    <t>455788******2629</t>
  </si>
  <si>
    <t>12:24:06</t>
  </si>
  <si>
    <t>455788******4965</t>
  </si>
  <si>
    <t>17:36:00</t>
  </si>
  <si>
    <t>20/01/2026</t>
  </si>
  <si>
    <t>0805</t>
  </si>
  <si>
    <t>0005695</t>
  </si>
  <si>
    <t>525435******3499</t>
  </si>
  <si>
    <t>02</t>
  </si>
  <si>
    <t>15:16:47</t>
  </si>
  <si>
    <t>0005685</t>
  </si>
  <si>
    <t>455788******7350</t>
  </si>
  <si>
    <t>14:33:24</t>
  </si>
  <si>
    <t>0005683</t>
  </si>
  <si>
    <t>447409******3556</t>
  </si>
  <si>
    <t>14:11:20</t>
  </si>
  <si>
    <t>0005681</t>
  </si>
  <si>
    <t>422224******5011</t>
  </si>
  <si>
    <t>17:19:27</t>
  </si>
  <si>
    <t>455788******0872</t>
  </si>
  <si>
    <t>11:26:19</t>
  </si>
  <si>
    <t>455788******3142</t>
  </si>
  <si>
    <t>097652</t>
  </si>
  <si>
    <t>14:07:49</t>
  </si>
  <si>
    <t>21/01/2026</t>
  </si>
  <si>
    <t>0806</t>
  </si>
  <si>
    <t>0005710</t>
  </si>
  <si>
    <t>526464******5124</t>
  </si>
  <si>
    <t>12:05:42</t>
  </si>
  <si>
    <t>0005705</t>
  </si>
  <si>
    <t>447409******4809</t>
  </si>
  <si>
    <t>16:41:55</t>
  </si>
  <si>
    <t>0865050</t>
  </si>
  <si>
    <t>447409******8942</t>
  </si>
  <si>
    <t>12:57:31</t>
  </si>
  <si>
    <t>455788******0966</t>
  </si>
  <si>
    <t>15:54:19</t>
  </si>
  <si>
    <t>455788******1182</t>
  </si>
  <si>
    <t>15:01:40</t>
  </si>
  <si>
    <t>22/01/2026</t>
  </si>
  <si>
    <t>0807</t>
  </si>
  <si>
    <t>0005728</t>
  </si>
  <si>
    <t>12:34:18</t>
  </si>
  <si>
    <t>0005726</t>
  </si>
  <si>
    <t>421410******1766</t>
  </si>
  <si>
    <t>064813</t>
  </si>
  <si>
    <t>17:43:23</t>
  </si>
  <si>
    <t>455788******3979</t>
  </si>
  <si>
    <t>11:47:13</t>
  </si>
  <si>
    <t>455788******0355</t>
  </si>
  <si>
    <t>097068</t>
  </si>
  <si>
    <t>17:08:23</t>
  </si>
  <si>
    <t>23/01/2026</t>
  </si>
  <si>
    <t>0808</t>
  </si>
  <si>
    <t>0005767</t>
  </si>
  <si>
    <t>511842******0816</t>
  </si>
  <si>
    <t>087395</t>
  </si>
  <si>
    <t>17:00:24</t>
  </si>
  <si>
    <t>0005765</t>
  </si>
  <si>
    <t>491914******5331</t>
  </si>
  <si>
    <t>14:23:48</t>
  </si>
  <si>
    <t>533958******3318</t>
  </si>
  <si>
    <t>T05983</t>
  </si>
  <si>
    <t>09:53:30</t>
  </si>
  <si>
    <t>422224******9938</t>
  </si>
  <si>
    <t>15:25:28</t>
  </si>
  <si>
    <t>455788******6590</t>
  </si>
  <si>
    <t>14:55:42</t>
  </si>
  <si>
    <t>455788******6880</t>
  </si>
  <si>
    <t>12:06:30</t>
  </si>
  <si>
    <t>421355******6472</t>
  </si>
  <si>
    <t>16:15:35</t>
  </si>
  <si>
    <t>12:10:11</t>
  </si>
  <si>
    <t>421355******6702</t>
  </si>
  <si>
    <t>17:38:50</t>
  </si>
  <si>
    <t>455788******5882</t>
  </si>
  <si>
    <t>12:47:16</t>
  </si>
  <si>
    <t>455788******7092</t>
  </si>
  <si>
    <t>12:23:10</t>
  </si>
  <si>
    <t>455788******4125</t>
  </si>
  <si>
    <t>15:38:00</t>
  </si>
  <si>
    <t>26/01/2026</t>
  </si>
  <si>
    <t>0809</t>
  </si>
  <si>
    <t>0005786</t>
  </si>
  <si>
    <t>424138******8387</t>
  </si>
  <si>
    <t>010402</t>
  </si>
  <si>
    <t>15:05:10</t>
  </si>
  <si>
    <t>17:41:58</t>
  </si>
  <si>
    <t>455788******8803</t>
  </si>
  <si>
    <t>17:00:36</t>
  </si>
  <si>
    <t>455788******6645</t>
  </si>
  <si>
    <t>11:02:37</t>
  </si>
  <si>
    <t>455788******7873</t>
  </si>
  <si>
    <t>083418</t>
  </si>
  <si>
    <t>18:46:45</t>
  </si>
  <si>
    <t>27/01/2026</t>
  </si>
  <si>
    <t>0810</t>
  </si>
  <si>
    <t>0005839</t>
  </si>
  <si>
    <t>421410******2786</t>
  </si>
  <si>
    <t>17:15:49</t>
  </si>
  <si>
    <t>0005828</t>
  </si>
  <si>
    <t>455788******5764</t>
  </si>
  <si>
    <t>16:42:27</t>
  </si>
  <si>
    <t>0005819</t>
  </si>
  <si>
    <t>455788******1636</t>
  </si>
  <si>
    <t>16:39:21</t>
  </si>
  <si>
    <t>0005817</t>
  </si>
  <si>
    <t>16:33:29</t>
  </si>
  <si>
    <t>0005815</t>
  </si>
  <si>
    <t>14:18:01</t>
  </si>
  <si>
    <t>0005808</t>
  </si>
  <si>
    <t>491257******2245</t>
  </si>
  <si>
    <t>062067</t>
  </si>
  <si>
    <t>17:30:56</t>
  </si>
  <si>
    <t>455788******1359</t>
  </si>
  <si>
    <t>12:12:32</t>
  </si>
  <si>
    <t>17:04:19</t>
  </si>
  <si>
    <t>455788******4168</t>
  </si>
  <si>
    <t>455788******9083</t>
  </si>
  <si>
    <t>17:19:04</t>
  </si>
  <si>
    <t>455788******0879</t>
  </si>
  <si>
    <t>16:03:34</t>
  </si>
  <si>
    <t>455788******2299</t>
  </si>
  <si>
    <t>16:46:07</t>
  </si>
  <si>
    <t>455788******2832</t>
  </si>
  <si>
    <t>17:58:00</t>
  </si>
  <si>
    <t>28/01/2026</t>
  </si>
  <si>
    <t>0811</t>
  </si>
  <si>
    <t>455788******7259</t>
  </si>
  <si>
    <t>18:46:50</t>
  </si>
  <si>
    <t>421355******5649</t>
  </si>
  <si>
    <t>18:05:37</t>
  </si>
  <si>
    <t>0005857</t>
  </si>
  <si>
    <t>455788******7171</t>
  </si>
  <si>
    <t>16:01:49</t>
  </si>
  <si>
    <t>0005852</t>
  </si>
  <si>
    <t>410334******6924</t>
  </si>
  <si>
    <t>003478</t>
  </si>
  <si>
    <t>16:50:12</t>
  </si>
  <si>
    <t>AMERICAN EXPRESS</t>
  </si>
  <si>
    <t>377754******114</t>
  </si>
  <si>
    <t>13:10:52</t>
  </si>
  <si>
    <t>463401******1462</t>
  </si>
  <si>
    <t>005460</t>
  </si>
  <si>
    <t>14:04:02</t>
  </si>
  <si>
    <t>455788******9109</t>
  </si>
  <si>
    <t>17:48:49</t>
  </si>
  <si>
    <t>29/01/2026</t>
  </si>
  <si>
    <t>0812</t>
  </si>
  <si>
    <t>455788******6986</t>
  </si>
  <si>
    <t>12:30:08</t>
  </si>
  <si>
    <t>455788******2851</t>
  </si>
  <si>
    <t>09:53:00</t>
  </si>
  <si>
    <t>455788******4567</t>
  </si>
  <si>
    <t>055936</t>
  </si>
  <si>
    <t>18:21:23</t>
  </si>
  <si>
    <t>0005890</t>
  </si>
  <si>
    <t>424138******0113</t>
  </si>
  <si>
    <t>034130</t>
  </si>
  <si>
    <t>14:38:31</t>
  </si>
  <si>
    <t>455788******6940</t>
  </si>
  <si>
    <t>17:12:21</t>
  </si>
  <si>
    <t>455788******2281</t>
  </si>
  <si>
    <t>12:01:13</t>
  </si>
  <si>
    <t>421355******1265</t>
  </si>
  <si>
    <t>18:17:02</t>
  </si>
  <si>
    <t>30/01/2026</t>
  </si>
  <si>
    <t>0813</t>
  </si>
  <si>
    <t>455788******1174</t>
  </si>
  <si>
    <t>10:16:53</t>
  </si>
  <si>
    <t>02/02/2026</t>
  </si>
  <si>
    <t>0814</t>
  </si>
  <si>
    <t>0012566</t>
  </si>
  <si>
    <t>069760</t>
  </si>
  <si>
    <t>17:23:59</t>
  </si>
  <si>
    <t>455788******3682</t>
  </si>
  <si>
    <t>17:44:42</t>
  </si>
  <si>
    <t>12:47:32</t>
  </si>
  <si>
    <t>455788******4391</t>
  </si>
  <si>
    <t>15:53:25</t>
  </si>
  <si>
    <t>Cargo</t>
  </si>
  <si>
    <t>No Especificado</t>
  </si>
  <si>
    <t>31/01/2026</t>
  </si>
  <si>
    <t>00:00:00</t>
  </si>
  <si>
    <t xml:space="preserve">      ******</t>
  </si>
  <si>
    <t>OP-BANCO</t>
  </si>
  <si>
    <t>005042121</t>
  </si>
  <si>
    <t>14:13:31</t>
  </si>
  <si>
    <t>0468</t>
  </si>
  <si>
    <t>0000359</t>
  </si>
  <si>
    <t>455788******5478</t>
  </si>
  <si>
    <t>CD8R8313</t>
  </si>
  <si>
    <t>12:23:31</t>
  </si>
  <si>
    <t>455788******7744</t>
  </si>
  <si>
    <t>088607</t>
  </si>
  <si>
    <t>17:29:03</t>
  </si>
  <si>
    <t>0469</t>
  </si>
  <si>
    <t>0000384</t>
  </si>
  <si>
    <t>414791******7882</t>
  </si>
  <si>
    <t>13:15:21</t>
  </si>
  <si>
    <t>0000376</t>
  </si>
  <si>
    <t>428581******6011</t>
  </si>
  <si>
    <t>12:55:13</t>
  </si>
  <si>
    <t>0000374</t>
  </si>
  <si>
    <t>457339******7174</t>
  </si>
  <si>
    <t>261A47</t>
  </si>
  <si>
    <t>13:22:01</t>
  </si>
  <si>
    <t>455788******8464</t>
  </si>
  <si>
    <t>15:14:15</t>
  </si>
  <si>
    <t>10:29:37</t>
  </si>
  <si>
    <t>0016591</t>
  </si>
  <si>
    <t>455788******3069</t>
  </si>
  <si>
    <t>056339</t>
  </si>
  <si>
    <t>12:21:17</t>
  </si>
  <si>
    <t>0470</t>
  </si>
  <si>
    <t>0000405</t>
  </si>
  <si>
    <t>455788******5706</t>
  </si>
  <si>
    <t>10:36:51</t>
  </si>
  <si>
    <t>0019946</t>
  </si>
  <si>
    <t>455788******5284</t>
  </si>
  <si>
    <t>053506</t>
  </si>
  <si>
    <t>09:03:28</t>
  </si>
  <si>
    <t>455788******7825</t>
  </si>
  <si>
    <t>031072</t>
  </si>
  <si>
    <t>15:41:41</t>
  </si>
  <si>
    <t>0471</t>
  </si>
  <si>
    <t>0000435</t>
  </si>
  <si>
    <t>072410</t>
  </si>
  <si>
    <t>15:31:12</t>
  </si>
  <si>
    <t>0000433</t>
  </si>
  <si>
    <t>414075******1770</t>
  </si>
  <si>
    <t>14:13:06</t>
  </si>
  <si>
    <t>0000425</t>
  </si>
  <si>
    <t>511842******0557</t>
  </si>
  <si>
    <t>058695</t>
  </si>
  <si>
    <t>12:26:53</t>
  </si>
  <si>
    <t>0000423</t>
  </si>
  <si>
    <t>421410******2708</t>
  </si>
  <si>
    <t>042776</t>
  </si>
  <si>
    <t>15:19:05</t>
  </si>
  <si>
    <t>455788******6596</t>
  </si>
  <si>
    <t>11:59:06</t>
  </si>
  <si>
    <t>455788******5455</t>
  </si>
  <si>
    <t>078748</t>
  </si>
  <si>
    <t>16:52:28</t>
  </si>
  <si>
    <t>455788******3498</t>
  </si>
  <si>
    <t>15:10:00</t>
  </si>
  <si>
    <t>455788******7224</t>
  </si>
  <si>
    <t>12:08:38</t>
  </si>
  <si>
    <t>0472</t>
  </si>
  <si>
    <t>455788******7822</t>
  </si>
  <si>
    <t>085618</t>
  </si>
  <si>
    <t>09:33:27</t>
  </si>
  <si>
    <t>455788******9636</t>
  </si>
  <si>
    <t>041168</t>
  </si>
  <si>
    <t>10:22:49</t>
  </si>
  <si>
    <t>0012356</t>
  </si>
  <si>
    <t>455788******5043</t>
  </si>
  <si>
    <t>053818</t>
  </si>
  <si>
    <t>18:16:52</t>
  </si>
  <si>
    <t>455788******8231</t>
  </si>
  <si>
    <t>18:08:52</t>
  </si>
  <si>
    <t>0000476</t>
  </si>
  <si>
    <t>451775******6612</t>
  </si>
  <si>
    <t>17:37:20</t>
  </si>
  <si>
    <t>0000474</t>
  </si>
  <si>
    <t>553650******8690</t>
  </si>
  <si>
    <t>16:49:41</t>
  </si>
  <si>
    <t>0000470</t>
  </si>
  <si>
    <t>535560******6978</t>
  </si>
  <si>
    <t>N7QYWS</t>
  </si>
  <si>
    <t>14:37:43</t>
  </si>
  <si>
    <t>0000468</t>
  </si>
  <si>
    <t>422224******9086</t>
  </si>
  <si>
    <t>12:37:14</t>
  </si>
  <si>
    <t>0000466</t>
  </si>
  <si>
    <t>455103******5861</t>
  </si>
  <si>
    <t>10:59:09</t>
  </si>
  <si>
    <t>0000461</t>
  </si>
  <si>
    <t>491246******7285</t>
  </si>
  <si>
    <t>09:37:01</t>
  </si>
  <si>
    <t>0000451</t>
  </si>
  <si>
    <t>10:10:26</t>
  </si>
  <si>
    <t>0473</t>
  </si>
  <si>
    <t>0005711</t>
  </si>
  <si>
    <t>455788******2797</t>
  </si>
  <si>
    <t>052644</t>
  </si>
  <si>
    <t>12:57:27</t>
  </si>
  <si>
    <t>455103******9011</t>
  </si>
  <si>
    <t>16:48:07</t>
  </si>
  <si>
    <t>0000507</t>
  </si>
  <si>
    <t>463402******5150</t>
  </si>
  <si>
    <t>008005</t>
  </si>
  <si>
    <t>15:23:01</t>
  </si>
  <si>
    <t>0000505</t>
  </si>
  <si>
    <t>463403******4848</t>
  </si>
  <si>
    <t>002023</t>
  </si>
  <si>
    <t>14:48:17</t>
  </si>
  <si>
    <t>0000503</t>
  </si>
  <si>
    <t>455788******8160</t>
  </si>
  <si>
    <t>14:09:37</t>
  </si>
  <si>
    <t>0000501</t>
  </si>
  <si>
    <t>491914******0439</t>
  </si>
  <si>
    <t>12:23:02</t>
  </si>
  <si>
    <t>0000496</t>
  </si>
  <si>
    <t>447410******6366</t>
  </si>
  <si>
    <t>11:14:10</t>
  </si>
  <si>
    <t>0000494</t>
  </si>
  <si>
    <t>444355******1445</t>
  </si>
  <si>
    <t>POS CHIP EMV</t>
  </si>
  <si>
    <t>09:44:23</t>
  </si>
  <si>
    <t>0000489</t>
  </si>
  <si>
    <t>477289******1219</t>
  </si>
  <si>
    <t>16:56:48</t>
  </si>
  <si>
    <t>0474</t>
  </si>
  <si>
    <t>0000528</t>
  </si>
  <si>
    <t>421355******2686</t>
  </si>
  <si>
    <t>12:55:28</t>
  </si>
  <si>
    <t>0000523</t>
  </si>
  <si>
    <t>09:33:35</t>
  </si>
  <si>
    <t>0000517</t>
  </si>
  <si>
    <t>477289******0114</t>
  </si>
  <si>
    <t>16:45:47</t>
  </si>
  <si>
    <t>455788******2231</t>
  </si>
  <si>
    <t>12:01:36</t>
  </si>
  <si>
    <t>455788******8893</t>
  </si>
  <si>
    <t>16:15:24</t>
  </si>
  <si>
    <t>0475</t>
  </si>
  <si>
    <t>0000546</t>
  </si>
  <si>
    <t>404071******8457</t>
  </si>
  <si>
    <t>048337</t>
  </si>
  <si>
    <t>12:44:53</t>
  </si>
  <si>
    <t>0000544</t>
  </si>
  <si>
    <t>16:32:31</t>
  </si>
  <si>
    <t>455788******7241</t>
  </si>
  <si>
    <t>17:07:52</t>
  </si>
  <si>
    <t>455788******0201</t>
  </si>
  <si>
    <t>10:29:43</t>
  </si>
  <si>
    <t>0019967</t>
  </si>
  <si>
    <t>063936</t>
  </si>
  <si>
    <t>11:05:10</t>
  </si>
  <si>
    <t>455788******2825</t>
  </si>
  <si>
    <t>075950</t>
  </si>
  <si>
    <t>18:20:55</t>
  </si>
  <si>
    <t>0476</t>
  </si>
  <si>
    <t>0000564</t>
  </si>
  <si>
    <t>455788******1821</t>
  </si>
  <si>
    <t>10:22:22</t>
  </si>
  <si>
    <t>0000562</t>
  </si>
  <si>
    <t>491257******1025</t>
  </si>
  <si>
    <t>17:31:01</t>
  </si>
  <si>
    <t>0477</t>
  </si>
  <si>
    <t>0000588</t>
  </si>
  <si>
    <t>454776******0719</t>
  </si>
  <si>
    <t>17:07:12</t>
  </si>
  <si>
    <t>0000586</t>
  </si>
  <si>
    <t>455788******5048</t>
  </si>
  <si>
    <t>12:40:05</t>
  </si>
  <si>
    <t>0000581</t>
  </si>
  <si>
    <t>414791******7429</t>
  </si>
  <si>
    <t>028958</t>
  </si>
  <si>
    <t>12:20:19</t>
  </si>
  <si>
    <t>0000579</t>
  </si>
  <si>
    <t>454775******8160</t>
  </si>
  <si>
    <t>11:53:05</t>
  </si>
  <si>
    <t>0000577</t>
  </si>
  <si>
    <t>455788******8822</t>
  </si>
  <si>
    <t>09:22:27</t>
  </si>
  <si>
    <t>0000574</t>
  </si>
  <si>
    <t>463402******4315</t>
  </si>
  <si>
    <t>008501</t>
  </si>
  <si>
    <t>14:12:25</t>
  </si>
  <si>
    <t>455788******0749</t>
  </si>
  <si>
    <t>17:34:40</t>
  </si>
  <si>
    <t>455788******1064</t>
  </si>
  <si>
    <t>15:47:31</t>
  </si>
  <si>
    <t>0478</t>
  </si>
  <si>
    <t>0000609</t>
  </si>
  <si>
    <t>455788******7275</t>
  </si>
  <si>
    <t>15:29:11</t>
  </si>
  <si>
    <t>0000607</t>
  </si>
  <si>
    <t>11:39:45</t>
  </si>
  <si>
    <t>0000605</t>
  </si>
  <si>
    <t>404071******0340</t>
  </si>
  <si>
    <t>020481</t>
  </si>
  <si>
    <t>12:13:12</t>
  </si>
  <si>
    <t>0479</t>
  </si>
  <si>
    <t>0000624</t>
  </si>
  <si>
    <t>411090******4470</t>
  </si>
  <si>
    <t>10:09:54</t>
  </si>
  <si>
    <t>0000619</t>
  </si>
  <si>
    <t>455788******3261</t>
  </si>
  <si>
    <t>12:51:45</t>
  </si>
  <si>
    <t>455788******4171</t>
  </si>
  <si>
    <t>10:39:39</t>
  </si>
  <si>
    <t>0028363</t>
  </si>
  <si>
    <t>455788******4358</t>
  </si>
  <si>
    <t>080197</t>
  </si>
  <si>
    <t>16:33:39</t>
  </si>
  <si>
    <t>455788******1393</t>
  </si>
  <si>
    <t>17:02:44</t>
  </si>
  <si>
    <t>455788******8145</t>
  </si>
  <si>
    <t>17:34:56</t>
  </si>
  <si>
    <t>455788******1934</t>
  </si>
  <si>
    <t>16:02:15</t>
  </si>
  <si>
    <t>0480</t>
  </si>
  <si>
    <t>0000653</t>
  </si>
  <si>
    <t>525435******4119</t>
  </si>
  <si>
    <t>15:06:40</t>
  </si>
  <si>
    <t>0000651</t>
  </si>
  <si>
    <t>14:27:09</t>
  </si>
  <si>
    <t>0000649</t>
  </si>
  <si>
    <t>447410******8180</t>
  </si>
  <si>
    <t>09:12:29</t>
  </si>
  <si>
    <t>455788******3753</t>
  </si>
  <si>
    <t>042521</t>
  </si>
  <si>
    <t>17:50:45</t>
  </si>
  <si>
    <t>455788******3015</t>
  </si>
  <si>
    <t>17:26:41</t>
  </si>
  <si>
    <t>17:49:29</t>
  </si>
  <si>
    <t>0481</t>
  </si>
  <si>
    <t>0000676</t>
  </si>
  <si>
    <t>455103******4247</t>
  </si>
  <si>
    <t>16:29:45</t>
  </si>
  <si>
    <t>0000672</t>
  </si>
  <si>
    <t>455788******0449</t>
  </si>
  <si>
    <t>10:53:30</t>
  </si>
  <si>
    <t>0038476</t>
  </si>
  <si>
    <t>076990</t>
  </si>
  <si>
    <t>09:37:26</t>
  </si>
  <si>
    <t>0482</t>
  </si>
  <si>
    <t>0000686</t>
  </si>
  <si>
    <t>544853******7926</t>
  </si>
  <si>
    <t>019458</t>
  </si>
  <si>
    <t>16:47:54</t>
  </si>
  <si>
    <t>455788******8755</t>
  </si>
  <si>
    <t>17:46:40</t>
  </si>
  <si>
    <t>421355******3150</t>
  </si>
  <si>
    <t>11:06:39</t>
  </si>
  <si>
    <t>0483</t>
  </si>
  <si>
    <t>0000702</t>
  </si>
  <si>
    <t>455788******9662</t>
  </si>
  <si>
    <t>12:58:19</t>
  </si>
  <si>
    <t>421355******5088</t>
  </si>
  <si>
    <t>13:12:59</t>
  </si>
  <si>
    <t>455788******6904</t>
  </si>
  <si>
    <t>17:12:47</t>
  </si>
  <si>
    <t>0484</t>
  </si>
  <si>
    <t>0000732</t>
  </si>
  <si>
    <t>10:26:26</t>
  </si>
  <si>
    <t>0019548</t>
  </si>
  <si>
    <t>455788******4498</t>
  </si>
  <si>
    <t>076235</t>
  </si>
  <si>
    <t>16:31:30</t>
  </si>
  <si>
    <t>18:50:41</t>
  </si>
  <si>
    <t>0485</t>
  </si>
  <si>
    <t>0000760</t>
  </si>
  <si>
    <t>455788******9223</t>
  </si>
  <si>
    <t>18:21:20</t>
  </si>
  <si>
    <t>0000757</t>
  </si>
  <si>
    <t>16:38:23</t>
  </si>
  <si>
    <t>0000752</t>
  </si>
  <si>
    <t>455788******8800</t>
  </si>
  <si>
    <t>15:36:48</t>
  </si>
  <si>
    <t>0000747</t>
  </si>
  <si>
    <t>455788******9062</t>
  </si>
  <si>
    <t>15:15:50</t>
  </si>
  <si>
    <t>0000745</t>
  </si>
  <si>
    <t>455788******9649</t>
  </si>
  <si>
    <t>14:24:14</t>
  </si>
  <si>
    <t>0000743</t>
  </si>
  <si>
    <t>463402******2981</t>
  </si>
  <si>
    <t>002141</t>
  </si>
  <si>
    <t>16:22:40</t>
  </si>
  <si>
    <t>455788******9040</t>
  </si>
  <si>
    <t>18:15:50</t>
  </si>
  <si>
    <t>455788******5232</t>
  </si>
  <si>
    <t>15:32:48</t>
  </si>
  <si>
    <t>0486</t>
  </si>
  <si>
    <t>0000786</t>
  </si>
  <si>
    <t>15:07:49</t>
  </si>
  <si>
    <t>0000784</t>
  </si>
  <si>
    <t>455788******6159</t>
  </si>
  <si>
    <t>14:27:27</t>
  </si>
  <si>
    <t>0000782</t>
  </si>
  <si>
    <t>424138******2107</t>
  </si>
  <si>
    <t>087333</t>
  </si>
  <si>
    <t>11:50:54</t>
  </si>
  <si>
    <t>0000780</t>
  </si>
  <si>
    <t>445330******1284</t>
  </si>
  <si>
    <t>000978</t>
  </si>
  <si>
    <t>09:43:18</t>
  </si>
  <si>
    <t>0000778</t>
  </si>
  <si>
    <t>414791******1179</t>
  </si>
  <si>
    <t>09:34:57</t>
  </si>
  <si>
    <t>0000776</t>
  </si>
  <si>
    <t>17:02:08</t>
  </si>
  <si>
    <t>455788******1529</t>
  </si>
  <si>
    <t>14:59:43</t>
  </si>
  <si>
    <t>0487</t>
  </si>
  <si>
    <t>0000817</t>
  </si>
  <si>
    <t>477289******9000</t>
  </si>
  <si>
    <t>12:43:36</t>
  </si>
  <si>
    <t>0000812</t>
  </si>
  <si>
    <t>052607</t>
  </si>
  <si>
    <t>09:33:55</t>
  </si>
  <si>
    <t>055200</t>
  </si>
  <si>
    <t>12:22:05</t>
  </si>
  <si>
    <t>455788******7998</t>
  </si>
  <si>
    <t>14:43:58</t>
  </si>
  <si>
    <t>455788******5328</t>
  </si>
  <si>
    <t>ID Banco</t>
  </si>
  <si>
    <t>Fecha</t>
  </si>
  <si>
    <t>Descripción</t>
  </si>
  <si>
    <t>Monto</t>
  </si>
  <si>
    <t>Saldo</t>
  </si>
  <si>
    <t>Sucursal</t>
  </si>
  <si>
    <t>Op. Número</t>
  </si>
  <si>
    <t>Op. Hora</t>
  </si>
  <si>
    <t>Referencia</t>
  </si>
  <si>
    <t>Op Manual</t>
  </si>
  <si>
    <t>OP Cancelación</t>
  </si>
  <si>
    <t>Descripción Final</t>
  </si>
  <si>
    <t>Estado</t>
  </si>
  <si>
    <t>SOLES</t>
  </si>
  <si>
    <t>IZIPAY -  YELAVE NATURE</t>
  </si>
  <si>
    <t>008876416</t>
  </si>
  <si>
    <t>17:15:17</t>
  </si>
  <si>
    <t>0026</t>
  </si>
  <si>
    <t>PS0002</t>
  </si>
  <si>
    <t>0000113</t>
  </si>
  <si>
    <t>444355******6458</t>
  </si>
  <si>
    <t>46R20726</t>
  </si>
  <si>
    <t>14:29:08</t>
  </si>
  <si>
    <t>0027</t>
  </si>
  <si>
    <t>002LB3</t>
  </si>
  <si>
    <t>455788******8521</t>
  </si>
  <si>
    <t>MPP002LB3</t>
  </si>
  <si>
    <t>15:25:22</t>
  </si>
  <si>
    <t>0028</t>
  </si>
  <si>
    <t>455788******8510</t>
  </si>
  <si>
    <t>17:18:25</t>
  </si>
  <si>
    <t>0029</t>
  </si>
  <si>
    <t>0000129</t>
  </si>
  <si>
    <t>407876******3804</t>
  </si>
  <si>
    <t>008474519</t>
  </si>
  <si>
    <t>15:03:47</t>
  </si>
  <si>
    <t>0122</t>
  </si>
  <si>
    <t>0000084</t>
  </si>
  <si>
    <t>455170******8471</t>
  </si>
  <si>
    <t>FD894553</t>
  </si>
  <si>
    <t>12:46:50</t>
  </si>
  <si>
    <t>0000082</t>
  </si>
  <si>
    <t>454776******9258</t>
  </si>
  <si>
    <t>15:06:42</t>
  </si>
  <si>
    <t>0123</t>
  </si>
  <si>
    <t>002LL3</t>
  </si>
  <si>
    <t>MPP002LL3</t>
  </si>
  <si>
    <t>10:22:41</t>
  </si>
  <si>
    <t>0000093</t>
  </si>
  <si>
    <t>09:06:07</t>
  </si>
  <si>
    <t>0000091</t>
  </si>
  <si>
    <t>455788******4742</t>
  </si>
  <si>
    <t>16:30:05</t>
  </si>
  <si>
    <t>0124</t>
  </si>
  <si>
    <t>0000102</t>
  </si>
  <si>
    <t>455788******8612</t>
  </si>
  <si>
    <t>061394</t>
  </si>
  <si>
    <t>11:39:50</t>
  </si>
  <si>
    <t>0125</t>
  </si>
  <si>
    <t>0000108</t>
  </si>
  <si>
    <t>525435******9734</t>
  </si>
  <si>
    <t>16:28:11</t>
  </si>
  <si>
    <t>0126</t>
  </si>
  <si>
    <t>11:46:50</t>
  </si>
  <si>
    <t>0127</t>
  </si>
  <si>
    <t>0000147</t>
  </si>
  <si>
    <t>444697******1700</t>
  </si>
  <si>
    <t>16:57:36</t>
  </si>
  <si>
    <t>18:02:21</t>
  </si>
  <si>
    <t>0128</t>
  </si>
  <si>
    <t>0000157</t>
  </si>
  <si>
    <t>447409******9038</t>
  </si>
  <si>
    <t>14:09:16</t>
  </si>
  <si>
    <t>0000152</t>
  </si>
  <si>
    <t>421355******5049</t>
  </si>
  <si>
    <t>13:27:34</t>
  </si>
  <si>
    <t>0129</t>
  </si>
  <si>
    <t>0000168</t>
  </si>
  <si>
    <t>377934******637</t>
  </si>
  <si>
    <t>00</t>
  </si>
  <si>
    <t>13:05:28</t>
  </si>
  <si>
    <t>421355******2856</t>
  </si>
  <si>
    <t>10:57:13</t>
  </si>
  <si>
    <t>0130</t>
  </si>
  <si>
    <t>0000174</t>
  </si>
  <si>
    <t>455788******0949</t>
  </si>
  <si>
    <t>QPS CHIP EMV</t>
  </si>
  <si>
    <t>18:17:42</t>
  </si>
  <si>
    <t>0000185</t>
  </si>
  <si>
    <t>377753******048</t>
  </si>
  <si>
    <t>13:41:45</t>
  </si>
  <si>
    <t>0131</t>
  </si>
  <si>
    <t>0000190</t>
  </si>
  <si>
    <t>414791******4442</t>
  </si>
  <si>
    <t>15:39:36</t>
  </si>
  <si>
    <t>0132</t>
  </si>
  <si>
    <t>421355******8428</t>
  </si>
  <si>
    <t>17:21:02</t>
  </si>
  <si>
    <t>0000204</t>
  </si>
  <si>
    <t>455103******0011</t>
  </si>
  <si>
    <t>16:07:06</t>
  </si>
  <si>
    <t>0000202</t>
  </si>
  <si>
    <t>451775******1321</t>
  </si>
  <si>
    <t>15:48:43</t>
  </si>
  <si>
    <t>0000200</t>
  </si>
  <si>
    <t>455788******2119</t>
  </si>
  <si>
    <t>15:11:06</t>
  </si>
  <si>
    <t>0000195</t>
  </si>
  <si>
    <t>455170******5570</t>
  </si>
  <si>
    <t>10:51:34</t>
  </si>
  <si>
    <t>0133</t>
  </si>
  <si>
    <t>0000209</t>
  </si>
  <si>
    <t>455788******0771</t>
  </si>
  <si>
    <t>12:03:00</t>
  </si>
  <si>
    <t>0134</t>
  </si>
  <si>
    <t>455788******7323</t>
  </si>
  <si>
    <t>13:29:42</t>
  </si>
  <si>
    <t>455788******8948</t>
  </si>
  <si>
    <t>13:28:08</t>
  </si>
  <si>
    <t>0000225</t>
  </si>
  <si>
    <t>434925******4342</t>
  </si>
  <si>
    <t>008213</t>
  </si>
  <si>
    <t>13:13:33</t>
  </si>
  <si>
    <t>0000223</t>
  </si>
  <si>
    <t>428082******7849</t>
  </si>
  <si>
    <t>009136</t>
  </si>
  <si>
    <t>12:40:50</t>
  </si>
  <si>
    <t>0000221</t>
  </si>
  <si>
    <t>463402******7911</t>
  </si>
  <si>
    <t>009101</t>
  </si>
  <si>
    <t>12:11:30</t>
  </si>
  <si>
    <t>0000219</t>
  </si>
  <si>
    <t>463402******3604</t>
  </si>
  <si>
    <t>002639</t>
  </si>
  <si>
    <t>10:37:04</t>
  </si>
  <si>
    <t>0000214</t>
  </si>
  <si>
    <t>477289******2337</t>
  </si>
  <si>
    <t>15:21:44</t>
  </si>
  <si>
    <t>0135</t>
  </si>
  <si>
    <t>0000235</t>
  </si>
  <si>
    <t>511842******2441</t>
  </si>
  <si>
    <t>069223</t>
  </si>
  <si>
    <t>14:16:39</t>
  </si>
  <si>
    <t>0000233</t>
  </si>
  <si>
    <t>455788******4283</t>
  </si>
  <si>
    <t>12:21:13</t>
  </si>
  <si>
    <t>0136</t>
  </si>
  <si>
    <t>0000241</t>
  </si>
  <si>
    <t>463402******7124</t>
  </si>
  <si>
    <t>007737</t>
  </si>
  <si>
    <t>17:00:07</t>
  </si>
  <si>
    <t>0137</t>
  </si>
  <si>
    <t>18:46:13</t>
  </si>
  <si>
    <t>0000257</t>
  </si>
  <si>
    <t>18:43:45</t>
  </si>
  <si>
    <t>0000255</t>
  </si>
  <si>
    <t>18:28:42</t>
  </si>
  <si>
    <t>0000253</t>
  </si>
  <si>
    <t>14:55:10</t>
  </si>
  <si>
    <t>0000248</t>
  </si>
  <si>
    <t>553650******9314</t>
  </si>
  <si>
    <t>020775</t>
  </si>
  <si>
    <t>14:18:22</t>
  </si>
  <si>
    <t>0138</t>
  </si>
  <si>
    <t>455788******0885</t>
  </si>
  <si>
    <t>14:01:42</t>
  </si>
  <si>
    <t>455788******2343</t>
  </si>
  <si>
    <t>14:35:08</t>
  </si>
  <si>
    <t>455788******5680</t>
  </si>
  <si>
    <t>038154</t>
  </si>
  <si>
    <t>14:44:37</t>
  </si>
  <si>
    <t>455788******8326</t>
  </si>
  <si>
    <t>13:14:07</t>
  </si>
  <si>
    <t>0000265</t>
  </si>
  <si>
    <t>063543</t>
  </si>
  <si>
    <t>12:26:34</t>
  </si>
  <si>
    <t>0000262</t>
  </si>
  <si>
    <t>008426659</t>
  </si>
  <si>
    <t>18:04:35</t>
  </si>
  <si>
    <t>0044</t>
  </si>
  <si>
    <t>0000242</t>
  </si>
  <si>
    <t>448700******7553</t>
  </si>
  <si>
    <t>057127</t>
  </si>
  <si>
    <t>FD8B1473</t>
  </si>
  <si>
    <t>14:31:21</t>
  </si>
  <si>
    <t>0000240</t>
  </si>
  <si>
    <t>491914******6076</t>
  </si>
  <si>
    <t>14:12:40</t>
  </si>
  <si>
    <t>411090******2946</t>
  </si>
  <si>
    <t>16:40:31</t>
  </si>
  <si>
    <t>463403******0545</t>
  </si>
  <si>
    <t>002444</t>
  </si>
  <si>
    <t>11:19:45</t>
  </si>
  <si>
    <t>428082******3988</t>
  </si>
  <si>
    <t>007835</t>
  </si>
  <si>
    <t>11:19:17</t>
  </si>
  <si>
    <t>0045</t>
  </si>
  <si>
    <t>455788******2473</t>
  </si>
  <si>
    <t>17:51:44</t>
  </si>
  <si>
    <t>455788******2545</t>
  </si>
  <si>
    <t>10:18:06</t>
  </si>
  <si>
    <t>414791******0169</t>
  </si>
  <si>
    <t>14:49:27</t>
  </si>
  <si>
    <t>0046</t>
  </si>
  <si>
    <t>0000256</t>
  </si>
  <si>
    <t>414791******7846</t>
  </si>
  <si>
    <t>18:12:42</t>
  </si>
  <si>
    <t>0047</t>
  </si>
  <si>
    <t>409947******3441</t>
  </si>
  <si>
    <t>16:35:21</t>
  </si>
  <si>
    <t>0048</t>
  </si>
  <si>
    <t>0000267</t>
  </si>
  <si>
    <t>529206******2318</t>
  </si>
  <si>
    <t>R09003</t>
  </si>
  <si>
    <t>12:25:23</t>
  </si>
  <si>
    <t>422224******5225</t>
  </si>
  <si>
    <t>17:17:53</t>
  </si>
  <si>
    <t>463402******6771</t>
  </si>
  <si>
    <t>004683</t>
  </si>
  <si>
    <t>15:05:39</t>
  </si>
  <si>
    <t>491909******9757</t>
  </si>
  <si>
    <t>21:35:19</t>
  </si>
  <si>
    <t>377890******721</t>
  </si>
  <si>
    <t>13:54:20</t>
  </si>
  <si>
    <t>463402******2172</t>
  </si>
  <si>
    <t>003016</t>
  </si>
  <si>
    <t>15:01:05</t>
  </si>
  <si>
    <t>463402******1275</t>
  </si>
  <si>
    <t>004687</t>
  </si>
  <si>
    <t>15:30:09</t>
  </si>
  <si>
    <t>428078******7964</t>
  </si>
  <si>
    <t>000894</t>
  </si>
  <si>
    <t>16:49:26</t>
  </si>
  <si>
    <t>0049</t>
  </si>
  <si>
    <t>0000278</t>
  </si>
  <si>
    <t>447410******5152</t>
  </si>
  <si>
    <t>16:38:28</t>
  </si>
  <si>
    <t>0000276</t>
  </si>
  <si>
    <t>447409******1700</t>
  </si>
  <si>
    <t>13:44:46</t>
  </si>
  <si>
    <t>0050</t>
  </si>
  <si>
    <t>455788******1432</t>
  </si>
  <si>
    <t>020822</t>
  </si>
  <si>
    <t>13:49:30</t>
  </si>
  <si>
    <t>455788******9889</t>
  </si>
  <si>
    <t>11:59:46</t>
  </si>
  <si>
    <t>0000283</t>
  </si>
  <si>
    <t>463403******7869</t>
  </si>
  <si>
    <t>007711</t>
  </si>
  <si>
    <t>12:42:46</t>
  </si>
  <si>
    <t>421355******1141</t>
  </si>
  <si>
    <t>17:05:28</t>
  </si>
  <si>
    <t>0051</t>
  </si>
  <si>
    <t>0000296</t>
  </si>
  <si>
    <t>491508******5061</t>
  </si>
  <si>
    <t>021840</t>
  </si>
  <si>
    <t>11:41:33</t>
  </si>
  <si>
    <t>0000294</t>
  </si>
  <si>
    <t>411090******3209</t>
  </si>
  <si>
    <t>21:41:23</t>
  </si>
  <si>
    <t>0351088</t>
  </si>
  <si>
    <t>377754******144</t>
  </si>
  <si>
    <t>10:43:20</t>
  </si>
  <si>
    <t>0679121</t>
  </si>
  <si>
    <t>477289******1563</t>
  </si>
  <si>
    <t>17:22:23</t>
  </si>
  <si>
    <t>12:49:13</t>
  </si>
  <si>
    <t>0052</t>
  </si>
  <si>
    <t>0000306</t>
  </si>
  <si>
    <t>454775******8375</t>
  </si>
  <si>
    <t>11:56:37</t>
  </si>
  <si>
    <t>0000304</t>
  </si>
  <si>
    <t>411093******5656</t>
  </si>
  <si>
    <t>17:32:54</t>
  </si>
  <si>
    <t>477289******6414</t>
  </si>
  <si>
    <t>11:43:41</t>
  </si>
  <si>
    <t>0053</t>
  </si>
  <si>
    <t>455788******7580</t>
  </si>
  <si>
    <t>14:59:25</t>
  </si>
  <si>
    <t>0054</t>
  </si>
  <si>
    <t>0000317</t>
  </si>
  <si>
    <t>15:45:34</t>
  </si>
  <si>
    <t>512372******8351</t>
  </si>
  <si>
    <t>T08117</t>
  </si>
  <si>
    <t>16:56:28</t>
  </si>
  <si>
    <t>0055</t>
  </si>
  <si>
    <t>455788******3635</t>
  </si>
  <si>
    <t>11:56:06</t>
  </si>
  <si>
    <t>411090******4290</t>
  </si>
  <si>
    <t>14:24:31</t>
  </si>
  <si>
    <t>414791******4327</t>
  </si>
  <si>
    <t>14:37:38</t>
  </si>
  <si>
    <t>0056</t>
  </si>
  <si>
    <t>0000332</t>
  </si>
  <si>
    <t>421355******8671</t>
  </si>
  <si>
    <t>14:37:01</t>
  </si>
  <si>
    <t>0000330</t>
  </si>
  <si>
    <t>14:26:07</t>
  </si>
  <si>
    <t>0000328</t>
  </si>
  <si>
    <t>17:29:14</t>
  </si>
  <si>
    <t>0803742</t>
  </si>
  <si>
    <t>005949</t>
  </si>
  <si>
    <t>15:08:42</t>
  </si>
  <si>
    <t>0993770</t>
  </si>
  <si>
    <t>421918******1468</t>
  </si>
  <si>
    <t>002617</t>
  </si>
  <si>
    <t>008426210</t>
  </si>
  <si>
    <t>15:45:53</t>
  </si>
  <si>
    <t>0163</t>
  </si>
  <si>
    <t>0000274</t>
  </si>
  <si>
    <t>404071******6563</t>
  </si>
  <si>
    <t>048263</t>
  </si>
  <si>
    <t>FD8B1098</t>
  </si>
  <si>
    <t>008426179</t>
  </si>
  <si>
    <t>12:52:57</t>
  </si>
  <si>
    <t>0039</t>
  </si>
  <si>
    <t>0000272</t>
  </si>
  <si>
    <t>428597******6260</t>
  </si>
  <si>
    <t>56F20826</t>
  </si>
  <si>
    <t>15:56:56</t>
  </si>
  <si>
    <t>0040</t>
  </si>
  <si>
    <t>529206******6874</t>
  </si>
  <si>
    <t>R06901</t>
  </si>
  <si>
    <t>16:55:00</t>
  </si>
  <si>
    <t>0041</t>
  </si>
  <si>
    <t>0000288</t>
  </si>
  <si>
    <t>491257******9921</t>
  </si>
  <si>
    <t>15:38:23</t>
  </si>
  <si>
    <t>0000286</t>
  </si>
  <si>
    <t>421355******6680</t>
  </si>
  <si>
    <t>017851</t>
  </si>
  <si>
    <t>13:01:15</t>
  </si>
  <si>
    <t>428076******4391</t>
  </si>
  <si>
    <t>008224</t>
  </si>
  <si>
    <t>QPS CONTACTLESS CHIP</t>
  </si>
  <si>
    <t>12:45:42</t>
  </si>
  <si>
    <t>0042</t>
  </si>
  <si>
    <t>DINERS CLUB</t>
  </si>
  <si>
    <t>360948******12</t>
  </si>
  <si>
    <t>066938</t>
  </si>
  <si>
    <t>16:21:54</t>
  </si>
  <si>
    <t>0043</t>
  </si>
  <si>
    <t>0000299</t>
  </si>
  <si>
    <t>421410******8128</t>
  </si>
  <si>
    <t>082684</t>
  </si>
  <si>
    <t>16:03:48</t>
  </si>
  <si>
    <t>0000308</t>
  </si>
  <si>
    <t>455788******0024</t>
  </si>
  <si>
    <t>10:59:04</t>
  </si>
  <si>
    <t>0042723</t>
  </si>
  <si>
    <t>427158******8342</t>
  </si>
  <si>
    <t>18:35:49</t>
  </si>
  <si>
    <t>0000326</t>
  </si>
  <si>
    <t>463403******6909</t>
  </si>
  <si>
    <t>000388</t>
  </si>
  <si>
    <t>008426057</t>
  </si>
  <si>
    <t>18:35:44</t>
  </si>
  <si>
    <t>0061</t>
  </si>
  <si>
    <t>0000536</t>
  </si>
  <si>
    <t>56E20603</t>
  </si>
  <si>
    <t>16:23:10</t>
  </si>
  <si>
    <t>0062</t>
  </si>
  <si>
    <t>17:43:25</t>
  </si>
  <si>
    <t>0063</t>
  </si>
  <si>
    <t>10:05:03</t>
  </si>
  <si>
    <t>0002584</t>
  </si>
  <si>
    <t>039319</t>
  </si>
  <si>
    <t>15:14:02</t>
  </si>
  <si>
    <t>0064</t>
  </si>
  <si>
    <t>0000556</t>
  </si>
  <si>
    <t>044973</t>
  </si>
  <si>
    <t>14:52:19</t>
  </si>
  <si>
    <t>0065</t>
  </si>
  <si>
    <t>15:37:13</t>
  </si>
  <si>
    <t>421355******2454</t>
  </si>
  <si>
    <t>17:34:50</t>
  </si>
  <si>
    <t>455788******7566</t>
  </si>
  <si>
    <t>083182</t>
  </si>
  <si>
    <t>17:40:19</t>
  </si>
  <si>
    <t>0000573</t>
  </si>
  <si>
    <t>11:38:55</t>
  </si>
  <si>
    <t>0066</t>
  </si>
  <si>
    <t>14:45:59</t>
  </si>
  <si>
    <t>0067</t>
  </si>
  <si>
    <t>18:46:51</t>
  </si>
  <si>
    <t>0068</t>
  </si>
  <si>
    <t>011578</t>
  </si>
  <si>
    <t>18:36:30</t>
  </si>
  <si>
    <t>0000599</t>
  </si>
  <si>
    <t>529206******3946</t>
  </si>
  <si>
    <t>R03739</t>
  </si>
  <si>
    <t>12:00:33</t>
  </si>
  <si>
    <t>0069</t>
  </si>
  <si>
    <t>096391</t>
  </si>
  <si>
    <t>15:19:21</t>
  </si>
  <si>
    <t>455788******7008</t>
  </si>
  <si>
    <t>12:47:44</t>
  </si>
  <si>
    <t>0070</t>
  </si>
  <si>
    <t>060287</t>
  </si>
  <si>
    <t>008425658</t>
  </si>
  <si>
    <t>12:23:40</t>
  </si>
  <si>
    <t>0193</t>
  </si>
  <si>
    <t>13:16:41</t>
  </si>
  <si>
    <t>0194</t>
  </si>
  <si>
    <t>0000598</t>
  </si>
  <si>
    <t>CD818353</t>
  </si>
  <si>
    <t>12:27:57</t>
  </si>
  <si>
    <t>0195</t>
  </si>
  <si>
    <t>12:21:26</t>
  </si>
  <si>
    <t>0000603</t>
  </si>
  <si>
    <t>003956</t>
  </si>
  <si>
    <t>18:09:46</t>
  </si>
  <si>
    <t>0196</t>
  </si>
  <si>
    <t>0000615</t>
  </si>
  <si>
    <t>421355******0272</t>
  </si>
  <si>
    <t>12:45:03</t>
  </si>
  <si>
    <t>0000613</t>
  </si>
  <si>
    <t>548812******4734</t>
  </si>
  <si>
    <t>R06481</t>
  </si>
  <si>
    <t>12:00:55</t>
  </si>
  <si>
    <t>0197</t>
  </si>
  <si>
    <t>18:21:04</t>
  </si>
  <si>
    <t>0198</t>
  </si>
  <si>
    <t>0000630</t>
  </si>
  <si>
    <t>026919</t>
  </si>
  <si>
    <t>16:29:39</t>
  </si>
  <si>
    <t>0000628</t>
  </si>
  <si>
    <t>404071******4811</t>
  </si>
  <si>
    <t>057478</t>
  </si>
  <si>
    <t>17:03:16</t>
  </si>
  <si>
    <t>0199</t>
  </si>
  <si>
    <t>0000637</t>
  </si>
  <si>
    <t>12:42:08</t>
  </si>
  <si>
    <t>0000635</t>
  </si>
  <si>
    <t>463402******1351</t>
  </si>
  <si>
    <t>008070</t>
  </si>
  <si>
    <t>17:03:06</t>
  </si>
  <si>
    <t>0200</t>
  </si>
  <si>
    <t>087040</t>
  </si>
  <si>
    <t>09:11:47</t>
  </si>
  <si>
    <t>0201</t>
  </si>
  <si>
    <t>12:32:17</t>
  </si>
  <si>
    <t>0202</t>
  </si>
  <si>
    <t>0000655</t>
  </si>
  <si>
    <t>455788******3813</t>
  </si>
  <si>
    <t>12:57:16</t>
  </si>
  <si>
    <t>0203</t>
  </si>
  <si>
    <t>13:12:07</t>
  </si>
  <si>
    <t>12:58:34</t>
  </si>
  <si>
    <t>0204</t>
  </si>
  <si>
    <t>455788******1327</t>
  </si>
  <si>
    <t>18:50:29</t>
  </si>
  <si>
    <t>0205</t>
  </si>
  <si>
    <t>0000680</t>
  </si>
  <si>
    <t>16:41:18</t>
  </si>
  <si>
    <t>0000678</t>
  </si>
  <si>
    <t>09:41:08</t>
  </si>
  <si>
    <t>0206</t>
  </si>
  <si>
    <t>0000685</t>
  </si>
  <si>
    <t>20:55:46</t>
  </si>
  <si>
    <t>0207</t>
  </si>
  <si>
    <t>455788******6803</t>
  </si>
  <si>
    <t>14:41:57</t>
  </si>
  <si>
    <t>008425662</t>
  </si>
  <si>
    <t>15:22:57</t>
  </si>
  <si>
    <t>0001</t>
  </si>
  <si>
    <t>0000006</t>
  </si>
  <si>
    <t>377754******888</t>
  </si>
  <si>
    <t>DESCRIPCION</t>
  </si>
  <si>
    <t>IZIPAY -  botica</t>
  </si>
  <si>
    <t>https://www.izipay.pe/izipay/</t>
  </si>
  <si>
    <t>YELAVE NATURE</t>
  </si>
  <si>
    <t>BOTICA MAGISTRAL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</si>
</sst>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indexed="8"/>
      <name val="Calibri"/>
    </font>
    <font>
      <b/>
      <sz val="11"/>
      <color theme="1"/>
      <name val="Calibri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theme="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4" fillId="0" borderId="0" applyFill="0" applyProtection="0"/>
  </cellStyleXfs>
  <cellXfs count="54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0" fillId="3" borderId="0" xfId="0" applyFill="1"/>
    <xf numFmtId="0" fontId="0" fillId="0" borderId="0" xfId="0" applyAlignment="1">
      <alignment horizontal="center"/>
    </xf>
    <xf numFmtId="0" fontId="0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1" fillId="2" borderId="1" xfId="0" applyFont="1" applyFill="1" applyBorder="1"/>
    <xf numFmtId="0" fontId="0" fillId="4" borderId="0" xfId="0" applyFill="1"/>
    <xf numFmtId="14" fontId="0" fillId="3" borderId="0" xfId="0" applyNumberFormat="1" applyFill="1"/>
    <xf numFmtId="2" fontId="0" fillId="3" borderId="0" xfId="0" applyNumberFormat="1" applyFill="1"/>
    <xf numFmtId="0" fontId="0" fillId="3" borderId="0" xfId="0" applyNumberFormat="1" applyFill="1"/>
    <xf numFmtId="0" fontId="4" fillId="0" borderId="0" xfId="1" applyFill="1" applyProtection="1"/>
    <xf numFmtId="0" fontId="4" fillId="0" borderId="0" xfId="1" applyFill="1" applyAlignment="1" applyProtection="1">
      <alignment horizontal="right"/>
    </xf>
    <xf numFmtId="2" fontId="4" fillId="0" borderId="0" xfId="1" applyNumberFormat="1" applyFill="1" applyAlignment="1" applyProtection="1">
      <alignment horizontal="right"/>
    </xf>
    <xf numFmtId="0" fontId="0" fillId="3" borderId="2" xfId="0" applyFill="1" applyBorder="1"/>
    <xf numFmtId="0" fontId="4" fillId="0" borderId="0" xfId="1" applyFill="1" applyProtection="1"/>
    <xf numFmtId="0" fontId="5" fillId="0" borderId="0" xfId="1" applyFont="1" applyFill="1" applyAlignment="1" applyProtection="1">
      <alignment horizontal="center"/>
    </xf>
    <xf numFmtId="0" fontId="4" fillId="0" borderId="0" xfId="1" applyFill="1" applyAlignment="1" applyProtection="1">
      <alignment horizontal="right"/>
    </xf>
    <xf numFmtId="2" fontId="4" fillId="0" borderId="0" xfId="1" applyNumberFormat="1" applyFill="1" applyAlignment="1" applyProtection="1">
      <alignment horizontal="right"/>
    </xf>
    <xf numFmtId="0" fontId="4" fillId="0" borderId="0" xfId="1" applyFill="1" applyProtection="1"/>
    <xf numFmtId="0" fontId="5" fillId="0" borderId="0" xfId="1" applyFont="1" applyFill="1" applyAlignment="1" applyProtection="1">
      <alignment horizontal="center"/>
    </xf>
    <xf numFmtId="0" fontId="4" fillId="0" borderId="0" xfId="1" applyFill="1" applyAlignment="1" applyProtection="1">
      <alignment horizontal="right"/>
    </xf>
    <xf numFmtId="2" fontId="4" fillId="0" borderId="0" xfId="1" applyNumberFormat="1" applyFill="1" applyAlignment="1" applyProtection="1">
      <alignment horizontal="right"/>
    </xf>
    <xf numFmtId="0" fontId="4" fillId="0" borderId="0" xfId="1" applyFill="1" applyProtection="1"/>
    <xf numFmtId="0" fontId="5" fillId="0" borderId="0" xfId="1" applyFont="1" applyFill="1" applyAlignment="1" applyProtection="1">
      <alignment horizontal="center"/>
    </xf>
    <xf numFmtId="0" fontId="4" fillId="0" borderId="0" xfId="1" applyFill="1" applyAlignment="1" applyProtection="1">
      <alignment horizontal="right"/>
    </xf>
    <xf numFmtId="2" fontId="4" fillId="0" borderId="0" xfId="1" applyNumberFormat="1" applyFill="1" applyAlignment="1" applyProtection="1">
      <alignment horizontal="right"/>
    </xf>
    <xf numFmtId="0" fontId="4" fillId="0" borderId="0" xfId="1" applyFill="1" applyProtection="1"/>
    <xf numFmtId="0" fontId="5" fillId="0" borderId="0" xfId="1" applyFont="1" applyFill="1" applyAlignment="1" applyProtection="1">
      <alignment horizontal="center"/>
    </xf>
    <xf numFmtId="0" fontId="4" fillId="0" borderId="0" xfId="1" applyFill="1" applyAlignment="1" applyProtection="1">
      <alignment horizontal="right"/>
    </xf>
    <xf numFmtId="2" fontId="4" fillId="0" borderId="0" xfId="1" applyNumberFormat="1" applyFill="1" applyAlignment="1" applyProtection="1">
      <alignment horizontal="right"/>
    </xf>
    <xf numFmtId="0" fontId="4" fillId="0" borderId="0" xfId="1" applyFill="1" applyProtection="1"/>
    <xf numFmtId="0" fontId="5" fillId="0" borderId="0" xfId="1" applyFont="1" applyFill="1" applyAlignment="1" applyProtection="1">
      <alignment horizontal="center"/>
    </xf>
    <xf numFmtId="0" fontId="4" fillId="0" borderId="0" xfId="1" applyFill="1" applyAlignment="1" applyProtection="1">
      <alignment horizontal="right"/>
    </xf>
    <xf numFmtId="2" fontId="4" fillId="0" borderId="0" xfId="1" applyNumberFormat="1" applyFill="1" applyAlignment="1" applyProtection="1">
      <alignment horizontal="right"/>
    </xf>
    <xf numFmtId="0" fontId="4" fillId="0" borderId="0" xfId="1" applyFill="1" applyProtection="1"/>
    <xf numFmtId="0" fontId="5" fillId="0" borderId="0" xfId="1" applyFont="1" applyFill="1" applyAlignment="1" applyProtection="1">
      <alignment horizontal="center"/>
    </xf>
    <xf numFmtId="0" fontId="4" fillId="0" borderId="0" xfId="1" applyFill="1" applyAlignment="1" applyProtection="1">
      <alignment horizontal="right"/>
    </xf>
    <xf numFmtId="2" fontId="4" fillId="0" borderId="0" xfId="1" applyNumberFormat="1" applyFill="1" applyAlignment="1" applyProtection="1">
      <alignment horizontal="right"/>
    </xf>
    <xf numFmtId="0" fontId="4" fillId="0" borderId="0" xfId="1" applyFill="1" applyProtection="1"/>
    <xf numFmtId="0" fontId="5" fillId="0" borderId="0" xfId="1" applyFont="1" applyFill="1" applyAlignment="1" applyProtection="1">
      <alignment horizontal="center"/>
    </xf>
    <xf numFmtId="0" fontId="4" fillId="0" borderId="0" xfId="1" applyFill="1" applyAlignment="1" applyProtection="1">
      <alignment horizontal="right"/>
    </xf>
    <xf numFmtId="2" fontId="4" fillId="0" borderId="0" xfId="1" applyNumberFormat="1" applyFill="1" applyAlignment="1" applyProtection="1">
      <alignment horizontal="right"/>
    </xf>
    <xf numFmtId="0" fontId="6" fillId="5" borderId="0" xfId="1" applyFont="1" applyFill="1" applyAlignment="1" applyProtection="1">
      <alignment horizontal="center" vertical="center"/>
    </xf>
    <xf numFmtId="14" fontId="0" fillId="6" borderId="0" xfId="0" applyNumberFormat="1" applyFill="1"/>
    <xf numFmtId="0" fontId="0" fillId="6" borderId="0" xfId="0" applyFill="1"/>
    <xf numFmtId="2" fontId="0" fillId="6" borderId="0" xfId="0" applyNumberFormat="1" applyFill="1"/>
    <xf numFmtId="0" fontId="0" fillId="6" borderId="0" xfId="0" applyNumberFormat="1" applyFill="1"/>
    <xf numFmtId="0" fontId="0" fillId="7" borderId="0" xfId="0" applyFill="1"/>
    <xf numFmtId="0" fontId="0" fillId="7" borderId="2" xfId="0" applyFill="1" applyBorder="1"/>
  </cellXfs>
  <cellStyles count="2">
    <cellStyle name="Normal" xfId="0" builtinId="0"/>
    <cellStyle name="Normal 2" xfId="1" xr:uid="{BEC71E26-5072-4871-9D26-20BB57FEBD5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A2B2-AF6D-4975-8E7D-68AE4051D479}">
  <sheetPr>
    <tabColor rgb="FFFFFF00"/>
  </sheetPr>
  <dimension ref="A1:AA247"/>
  <sheetViews>
    <sheetView workbookViewId="0">
      <pane ySplit="1" topLeftCell="A2" activePane="bottomLeft" state="frozen"/>
      <selection activeCell="C119" sqref="C119"/>
      <selection pane="bottomLeft" activeCell="C119" sqref="C119"/>
    </sheetView>
  </sheetViews>
  <sheetFormatPr baseColWidth="10" defaultRowHeight="15" x14ac:dyDescent="0.25"/>
  <cols>
    <col min="1" max="1" width="11.7109375" bestFit="1" customWidth="1"/>
    <col min="2" max="2" width="74.5703125" bestFit="1" customWidth="1"/>
    <col min="3" max="3" width="11.7109375" customWidth="1"/>
    <col min="4" max="4" width="12.5703125" customWidth="1"/>
    <col min="5" max="5" width="22" bestFit="1" customWidth="1"/>
    <col min="6" max="6" width="15.28515625" bestFit="1" customWidth="1"/>
    <col min="7" max="7" width="23" bestFit="1" customWidth="1"/>
    <col min="8" max="8" width="22.42578125" bestFit="1" customWidth="1"/>
    <col min="9" max="9" width="23.5703125" bestFit="1" customWidth="1"/>
    <col min="10" max="10" width="18.28515625" bestFit="1" customWidth="1"/>
    <col min="11" max="11" width="16.7109375" bestFit="1" customWidth="1"/>
    <col min="12" max="12" width="12.7109375" customWidth="1"/>
    <col min="13" max="13" width="9.140625" bestFit="1" customWidth="1"/>
    <col min="14" max="14" width="10.42578125" bestFit="1" customWidth="1"/>
    <col min="15" max="15" width="4.5703125" bestFit="1" customWidth="1"/>
    <col min="16" max="16" width="14.42578125" bestFit="1" customWidth="1"/>
    <col min="17" max="17" width="16.140625" bestFit="1" customWidth="1"/>
    <col min="18" max="18" width="13.140625" bestFit="1" customWidth="1"/>
    <col min="19" max="19" width="10.140625" bestFit="1" customWidth="1"/>
    <col min="20" max="20" width="22.85546875" bestFit="1" customWidth="1"/>
    <col min="21" max="21" width="18.42578125" bestFit="1" customWidth="1"/>
    <col min="22" max="22" width="17.140625" bestFit="1" customWidth="1"/>
    <col min="23" max="23" width="25.42578125" bestFit="1" customWidth="1"/>
    <col min="24" max="24" width="8.28515625" bestFit="1" customWidth="1"/>
    <col min="25" max="25" width="15.85546875" bestFit="1" customWidth="1"/>
    <col min="26" max="26" width="9.28515625" bestFit="1" customWidth="1"/>
    <col min="27" max="27" width="15.28515625" bestFit="1" customWidth="1"/>
  </cols>
  <sheetData>
    <row r="1" spans="1:27" s="8" customFormat="1" ht="17.25" customHeight="1" x14ac:dyDescent="0.25">
      <c r="A1" s="6" t="s">
        <v>427</v>
      </c>
      <c r="B1" s="6" t="s">
        <v>1221</v>
      </c>
      <c r="C1" s="7" t="s">
        <v>0</v>
      </c>
      <c r="D1" s="7" t="s">
        <v>1</v>
      </c>
      <c r="E1" s="7" t="s">
        <v>2</v>
      </c>
      <c r="F1" s="7" t="s">
        <v>3</v>
      </c>
      <c r="G1" s="7" t="s">
        <v>4</v>
      </c>
      <c r="H1" s="7" t="s">
        <v>5</v>
      </c>
      <c r="I1" s="7" t="s">
        <v>6</v>
      </c>
      <c r="J1" s="7" t="s">
        <v>7</v>
      </c>
      <c r="K1" s="7" t="s">
        <v>8</v>
      </c>
      <c r="L1" s="7" t="s">
        <v>9</v>
      </c>
      <c r="M1" s="7" t="s">
        <v>10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  <c r="AA1" s="7" t="s">
        <v>24</v>
      </c>
    </row>
    <row r="2" spans="1:27" x14ac:dyDescent="0.25">
      <c r="A2" s="4" t="str">
        <f>CONCATENATE(RIGHT(C2,4),"-",W2)</f>
        <v>2111-014280</v>
      </c>
      <c r="B2" s="18" t="str">
        <f>CONCATENATE("SERIE: ",AA2, "- ",E2," - "," VAUCHER N° ",T2,  " -  OP: ",W2)</f>
        <v>SERIE: CD8S9119- POS CONTACTLESS CHIP -  VAUCHER N° 0005417 -  OP: 014280</v>
      </c>
      <c r="C2" s="2" t="s">
        <v>25</v>
      </c>
      <c r="D2" s="2" t="s">
        <v>26</v>
      </c>
      <c r="E2" s="2" t="s">
        <v>27</v>
      </c>
      <c r="F2" s="2" t="s">
        <v>28</v>
      </c>
      <c r="G2" s="2" t="s">
        <v>29</v>
      </c>
      <c r="H2" s="2" t="s">
        <v>30</v>
      </c>
      <c r="I2" s="2" t="s">
        <v>29</v>
      </c>
      <c r="J2" s="2" t="s">
        <v>29</v>
      </c>
      <c r="K2" s="2" t="s">
        <v>31</v>
      </c>
      <c r="L2" s="2" t="s">
        <v>32</v>
      </c>
      <c r="M2" s="3">
        <v>75</v>
      </c>
      <c r="N2" s="3">
        <v>2.2200000000000002</v>
      </c>
      <c r="O2" s="3">
        <v>0.4</v>
      </c>
      <c r="P2" s="3">
        <v>72.38</v>
      </c>
      <c r="Q2" s="3">
        <v>207.49</v>
      </c>
      <c r="R2" s="2" t="s">
        <v>33</v>
      </c>
      <c r="S2" s="2" t="s">
        <v>34</v>
      </c>
      <c r="T2" s="2" t="s">
        <v>35</v>
      </c>
      <c r="U2" s="2" t="s">
        <v>36</v>
      </c>
      <c r="V2" s="2" t="s">
        <v>37</v>
      </c>
      <c r="W2" s="2" t="s">
        <v>38</v>
      </c>
      <c r="X2" s="2"/>
      <c r="Y2" s="2"/>
      <c r="Z2">
        <v>604</v>
      </c>
      <c r="AA2" t="s">
        <v>39</v>
      </c>
    </row>
    <row r="3" spans="1:27" x14ac:dyDescent="0.25">
      <c r="A3" s="4" t="str">
        <f t="shared" ref="A3:A66" si="0">CONCATENATE(RIGHT(C3,4),"-",W3)</f>
        <v>2111-441056</v>
      </c>
      <c r="B3" s="18" t="str">
        <f t="shared" ref="B3:B66" si="1">CONCATENATE("SERIE: ",AA3, "- ",E3," - "," VAUCHER N° ",T3,  " -  OP: ",W3)</f>
        <v>SERIE: CD8S9119- POS CONTACTLESS CHIP -  VAUCHER N° 0005415 -  OP: 441056</v>
      </c>
      <c r="C3" s="2" t="s">
        <v>25</v>
      </c>
      <c r="D3" s="2" t="s">
        <v>26</v>
      </c>
      <c r="E3" s="2" t="s">
        <v>27</v>
      </c>
      <c r="F3" s="2" t="s">
        <v>28</v>
      </c>
      <c r="G3" s="2" t="s">
        <v>29</v>
      </c>
      <c r="H3" s="2" t="s">
        <v>40</v>
      </c>
      <c r="I3" s="2" t="s">
        <v>29</v>
      </c>
      <c r="J3" s="2" t="s">
        <v>29</v>
      </c>
      <c r="K3" s="2" t="s">
        <v>31</v>
      </c>
      <c r="L3" s="2" t="s">
        <v>32</v>
      </c>
      <c r="M3" s="3">
        <v>75</v>
      </c>
      <c r="N3" s="3">
        <v>2.2200000000000002</v>
      </c>
      <c r="O3" s="3">
        <v>0.4</v>
      </c>
      <c r="P3" s="3">
        <v>72.38</v>
      </c>
      <c r="Q3" s="3">
        <v>0</v>
      </c>
      <c r="R3" s="2" t="s">
        <v>33</v>
      </c>
      <c r="S3" s="2" t="s">
        <v>34</v>
      </c>
      <c r="T3" s="2" t="s">
        <v>41</v>
      </c>
      <c r="U3" s="2" t="s">
        <v>36</v>
      </c>
      <c r="V3" s="2" t="s">
        <v>42</v>
      </c>
      <c r="W3" s="2">
        <v>441056</v>
      </c>
      <c r="X3" s="2"/>
      <c r="Y3" s="2"/>
      <c r="Z3">
        <v>604</v>
      </c>
      <c r="AA3" t="s">
        <v>39</v>
      </c>
    </row>
    <row r="4" spans="1:27" x14ac:dyDescent="0.25">
      <c r="A4" s="4" t="str">
        <f t="shared" si="0"/>
        <v>2111-088495</v>
      </c>
      <c r="B4" s="18" t="str">
        <f t="shared" si="1"/>
        <v>SERIE: MPP001LL3- POS QR -  VAUCHER N° 2016017 -  OP: 088495</v>
      </c>
      <c r="C4" s="2" t="s">
        <v>25</v>
      </c>
      <c r="D4" s="2" t="s">
        <v>26</v>
      </c>
      <c r="E4" s="2" t="s">
        <v>43</v>
      </c>
      <c r="F4" s="2" t="s">
        <v>28</v>
      </c>
      <c r="G4" s="2" t="s">
        <v>29</v>
      </c>
      <c r="H4" s="2" t="s">
        <v>44</v>
      </c>
      <c r="I4" s="2" t="s">
        <v>29</v>
      </c>
      <c r="J4" s="2" t="s">
        <v>29</v>
      </c>
      <c r="K4" s="2" t="s">
        <v>31</v>
      </c>
      <c r="L4" s="2" t="s">
        <v>32</v>
      </c>
      <c r="M4" s="3">
        <v>65</v>
      </c>
      <c r="N4" s="3">
        <v>1.92</v>
      </c>
      <c r="O4" s="3">
        <v>0.35</v>
      </c>
      <c r="P4" s="3">
        <v>62.73</v>
      </c>
      <c r="Q4" s="3">
        <v>0</v>
      </c>
      <c r="R4" s="2" t="s">
        <v>33</v>
      </c>
      <c r="S4" s="2" t="s">
        <v>45</v>
      </c>
      <c r="T4" s="2">
        <v>2016017</v>
      </c>
      <c r="U4" s="2" t="s">
        <v>36</v>
      </c>
      <c r="V4" s="2" t="s">
        <v>46</v>
      </c>
      <c r="W4" s="2" t="s">
        <v>47</v>
      </c>
      <c r="X4" s="2"/>
      <c r="Y4" s="2"/>
      <c r="Z4">
        <v>604</v>
      </c>
      <c r="AA4" t="s">
        <v>48</v>
      </c>
    </row>
    <row r="5" spans="1:27" x14ac:dyDescent="0.25">
      <c r="A5" s="4" t="str">
        <f t="shared" si="0"/>
        <v>2111-073489</v>
      </c>
      <c r="B5" s="18" t="str">
        <f t="shared" si="1"/>
        <v>SERIE: CD8S9119- POS CONTACTLESS CHIP -  VAUCHER N° 0005431 -  OP: 073489</v>
      </c>
      <c r="C5" s="2" t="s">
        <v>25</v>
      </c>
      <c r="D5" s="2" t="s">
        <v>26</v>
      </c>
      <c r="E5" s="2" t="s">
        <v>27</v>
      </c>
      <c r="F5" s="2" t="s">
        <v>28</v>
      </c>
      <c r="G5" s="2" t="s">
        <v>31</v>
      </c>
      <c r="H5" s="2" t="s">
        <v>49</v>
      </c>
      <c r="I5" s="2" t="s">
        <v>31</v>
      </c>
      <c r="J5" s="2" t="s">
        <v>31</v>
      </c>
      <c r="K5" s="2" t="s">
        <v>50</v>
      </c>
      <c r="L5" s="2" t="s">
        <v>32</v>
      </c>
      <c r="M5" s="3">
        <v>50</v>
      </c>
      <c r="N5" s="3">
        <v>1.48</v>
      </c>
      <c r="O5" s="3">
        <v>0.27</v>
      </c>
      <c r="P5" s="3">
        <v>48.25</v>
      </c>
      <c r="Q5" s="3">
        <v>1609.73</v>
      </c>
      <c r="R5" s="2" t="s">
        <v>51</v>
      </c>
      <c r="S5" s="2" t="s">
        <v>34</v>
      </c>
      <c r="T5" s="2" t="s">
        <v>52</v>
      </c>
      <c r="U5" s="2" t="s">
        <v>36</v>
      </c>
      <c r="V5" s="2" t="s">
        <v>53</v>
      </c>
      <c r="W5" s="2" t="s">
        <v>54</v>
      </c>
      <c r="X5" s="2"/>
      <c r="Y5" s="2"/>
      <c r="Z5">
        <v>604</v>
      </c>
      <c r="AA5" t="s">
        <v>39</v>
      </c>
    </row>
    <row r="6" spans="1:27" x14ac:dyDescent="0.25">
      <c r="A6" s="4" t="str">
        <f t="shared" si="0"/>
        <v>2111-127970</v>
      </c>
      <c r="B6" s="18" t="str">
        <f t="shared" si="1"/>
        <v>SERIE: MPP001LL3- POS QR -  VAUCHER N° 4008753 -  OP: 127970</v>
      </c>
      <c r="C6" s="2" t="s">
        <v>25</v>
      </c>
      <c r="D6" s="2" t="s">
        <v>26</v>
      </c>
      <c r="E6" s="2" t="s">
        <v>43</v>
      </c>
      <c r="F6" s="2" t="s">
        <v>28</v>
      </c>
      <c r="G6" s="2" t="s">
        <v>31</v>
      </c>
      <c r="H6" s="2" t="s">
        <v>55</v>
      </c>
      <c r="I6" s="2" t="s">
        <v>31</v>
      </c>
      <c r="J6" s="2" t="s">
        <v>31</v>
      </c>
      <c r="K6" s="2" t="s">
        <v>50</v>
      </c>
      <c r="L6" s="2" t="s">
        <v>32</v>
      </c>
      <c r="M6" s="3">
        <v>20</v>
      </c>
      <c r="N6" s="3">
        <v>0.59</v>
      </c>
      <c r="O6" s="3">
        <v>0.11</v>
      </c>
      <c r="P6" s="3">
        <v>19.3</v>
      </c>
      <c r="Q6" s="3">
        <v>0</v>
      </c>
      <c r="R6" s="2" t="s">
        <v>51</v>
      </c>
      <c r="S6" s="2" t="s">
        <v>45</v>
      </c>
      <c r="T6" s="2">
        <v>4008753</v>
      </c>
      <c r="U6" s="2" t="s">
        <v>36</v>
      </c>
      <c r="V6" s="2" t="s">
        <v>56</v>
      </c>
      <c r="W6" s="2">
        <v>127970</v>
      </c>
      <c r="X6" s="2"/>
      <c r="Y6" s="2"/>
      <c r="Z6">
        <v>604</v>
      </c>
      <c r="AA6" t="s">
        <v>48</v>
      </c>
    </row>
    <row r="7" spans="1:27" x14ac:dyDescent="0.25">
      <c r="A7" s="4" t="str">
        <f t="shared" si="0"/>
        <v>2111-185796</v>
      </c>
      <c r="B7" s="18" t="str">
        <f t="shared" si="1"/>
        <v>SERIE: MPP001LL3- POS QR -  VAUCHER N° 7009900 -  OP: 185796</v>
      </c>
      <c r="C7" s="2" t="s">
        <v>25</v>
      </c>
      <c r="D7" s="2" t="s">
        <v>26</v>
      </c>
      <c r="E7" s="2" t="s">
        <v>43</v>
      </c>
      <c r="F7" s="2" t="s">
        <v>28</v>
      </c>
      <c r="G7" s="2" t="s">
        <v>31</v>
      </c>
      <c r="H7" s="2" t="s">
        <v>57</v>
      </c>
      <c r="I7" s="2" t="s">
        <v>31</v>
      </c>
      <c r="J7" s="2" t="s">
        <v>31</v>
      </c>
      <c r="K7" s="2" t="s">
        <v>50</v>
      </c>
      <c r="L7" s="2" t="s">
        <v>32</v>
      </c>
      <c r="M7" s="3">
        <v>80</v>
      </c>
      <c r="N7" s="3">
        <v>2.37</v>
      </c>
      <c r="O7" s="3">
        <v>0.43</v>
      </c>
      <c r="P7" s="3">
        <v>77.2</v>
      </c>
      <c r="Q7" s="3">
        <v>0</v>
      </c>
      <c r="R7" s="2" t="s">
        <v>51</v>
      </c>
      <c r="S7" s="2" t="s">
        <v>45</v>
      </c>
      <c r="T7" s="2">
        <v>7009900</v>
      </c>
      <c r="U7" s="2" t="s">
        <v>36</v>
      </c>
      <c r="V7" s="2" t="s">
        <v>58</v>
      </c>
      <c r="W7" s="2">
        <v>185796</v>
      </c>
      <c r="X7" s="2"/>
      <c r="Y7" s="2"/>
      <c r="Z7">
        <v>604</v>
      </c>
      <c r="AA7" t="s">
        <v>48</v>
      </c>
    </row>
    <row r="8" spans="1:27" x14ac:dyDescent="0.25">
      <c r="A8" s="4" t="str">
        <f t="shared" si="0"/>
        <v>2111-168833</v>
      </c>
      <c r="B8" s="18" t="str">
        <f t="shared" si="1"/>
        <v>SERIE: MPP001LL3- POS QR -  VAUCHER N° 6015706 -  OP: 168833</v>
      </c>
      <c r="C8" s="2" t="s">
        <v>25</v>
      </c>
      <c r="D8" s="2" t="s">
        <v>26</v>
      </c>
      <c r="E8" s="2" t="s">
        <v>43</v>
      </c>
      <c r="F8" s="2" t="s">
        <v>28</v>
      </c>
      <c r="G8" s="2" t="s">
        <v>31</v>
      </c>
      <c r="H8" s="2" t="s">
        <v>59</v>
      </c>
      <c r="I8" s="2" t="s">
        <v>31</v>
      </c>
      <c r="J8" s="2" t="s">
        <v>31</v>
      </c>
      <c r="K8" s="2" t="s">
        <v>50</v>
      </c>
      <c r="L8" s="2" t="s">
        <v>32</v>
      </c>
      <c r="M8" s="3">
        <v>80</v>
      </c>
      <c r="N8" s="3">
        <v>2.37</v>
      </c>
      <c r="O8" s="3">
        <v>0.43</v>
      </c>
      <c r="P8" s="3">
        <v>77.2</v>
      </c>
      <c r="Q8" s="3">
        <v>0</v>
      </c>
      <c r="R8" s="2" t="s">
        <v>51</v>
      </c>
      <c r="S8" s="2" t="s">
        <v>45</v>
      </c>
      <c r="T8" s="2">
        <v>6015706</v>
      </c>
      <c r="U8" s="2" t="s">
        <v>36</v>
      </c>
      <c r="V8" s="2" t="s">
        <v>60</v>
      </c>
      <c r="W8" s="2">
        <v>168833</v>
      </c>
      <c r="X8" s="2"/>
      <c r="Y8" s="2"/>
      <c r="Z8">
        <v>604</v>
      </c>
      <c r="AA8" t="s">
        <v>48</v>
      </c>
    </row>
    <row r="9" spans="1:27" x14ac:dyDescent="0.25">
      <c r="A9" s="4" t="str">
        <f t="shared" si="0"/>
        <v>2111-934332</v>
      </c>
      <c r="B9" s="18" t="str">
        <f t="shared" si="1"/>
        <v>SERIE: PAYZEN- E-COMMERCE -  VAUCHER N° 6983331 -  OP: 934332</v>
      </c>
      <c r="C9" s="2" t="s">
        <v>25</v>
      </c>
      <c r="D9" s="2" t="s">
        <v>26</v>
      </c>
      <c r="E9" s="2" t="s">
        <v>61</v>
      </c>
      <c r="F9" s="2" t="s">
        <v>28</v>
      </c>
      <c r="G9" s="2" t="s">
        <v>31</v>
      </c>
      <c r="H9" s="2" t="s">
        <v>62</v>
      </c>
      <c r="I9" s="2" t="s">
        <v>31</v>
      </c>
      <c r="J9" s="2" t="s">
        <v>31</v>
      </c>
      <c r="K9" s="2" t="s">
        <v>50</v>
      </c>
      <c r="L9" s="2" t="s">
        <v>32</v>
      </c>
      <c r="M9" s="3">
        <v>1061</v>
      </c>
      <c r="N9" s="3">
        <v>31.41</v>
      </c>
      <c r="O9" s="3">
        <v>5.65</v>
      </c>
      <c r="P9" s="3">
        <v>1023.94</v>
      </c>
      <c r="Q9" s="3">
        <v>0</v>
      </c>
      <c r="R9" s="2"/>
      <c r="S9" s="2"/>
      <c r="T9" s="2">
        <v>6983331</v>
      </c>
      <c r="U9" s="2" t="s">
        <v>63</v>
      </c>
      <c r="V9" s="2" t="s">
        <v>64</v>
      </c>
      <c r="W9" s="2">
        <v>934332</v>
      </c>
      <c r="X9" s="2"/>
      <c r="Y9" s="2"/>
      <c r="Z9">
        <v>604</v>
      </c>
      <c r="AA9" t="s">
        <v>65</v>
      </c>
    </row>
    <row r="10" spans="1:27" x14ac:dyDescent="0.25">
      <c r="A10" s="4" t="str">
        <f t="shared" si="0"/>
        <v>2111-046449</v>
      </c>
      <c r="B10" s="18" t="str">
        <f t="shared" si="1"/>
        <v>SERIE: PAYZEN- POS VIRTUAL -  VAUCHER N° 6931105 -  OP: 046449</v>
      </c>
      <c r="C10" s="2" t="s">
        <v>25</v>
      </c>
      <c r="D10" s="2" t="s">
        <v>26</v>
      </c>
      <c r="E10" s="2" t="s">
        <v>66</v>
      </c>
      <c r="F10" s="2" t="s">
        <v>28</v>
      </c>
      <c r="G10" s="2" t="s">
        <v>31</v>
      </c>
      <c r="H10" s="2" t="s">
        <v>67</v>
      </c>
      <c r="I10" s="2" t="s">
        <v>31</v>
      </c>
      <c r="J10" s="2" t="s">
        <v>31</v>
      </c>
      <c r="K10" s="2" t="s">
        <v>50</v>
      </c>
      <c r="L10" s="2" t="s">
        <v>32</v>
      </c>
      <c r="M10" s="3">
        <v>377.01</v>
      </c>
      <c r="N10" s="3">
        <v>11.16</v>
      </c>
      <c r="O10" s="3">
        <v>2.0099999999999998</v>
      </c>
      <c r="P10" s="3">
        <v>363.84</v>
      </c>
      <c r="Q10" s="3">
        <v>0</v>
      </c>
      <c r="R10" s="2"/>
      <c r="S10" s="2"/>
      <c r="T10" s="2">
        <v>6931105</v>
      </c>
      <c r="U10" s="2" t="s">
        <v>36</v>
      </c>
      <c r="V10" s="2" t="s">
        <v>68</v>
      </c>
      <c r="W10" s="2" t="s">
        <v>69</v>
      </c>
      <c r="X10" s="2"/>
      <c r="Y10" s="2"/>
      <c r="Z10">
        <v>604</v>
      </c>
      <c r="AA10" t="s">
        <v>65</v>
      </c>
    </row>
    <row r="11" spans="1:27" x14ac:dyDescent="0.25">
      <c r="A11" s="4" t="str">
        <f t="shared" si="0"/>
        <v>2111-R00364</v>
      </c>
      <c r="B11" s="18" t="str">
        <f t="shared" si="1"/>
        <v>SERIE: CD8S9119- POS CONTACTLESS CHIP -  VAUCHER N° 0005462 -  OP: R00364</v>
      </c>
      <c r="C11" s="2" t="s">
        <v>25</v>
      </c>
      <c r="D11" s="2" t="s">
        <v>26</v>
      </c>
      <c r="E11" s="2" t="s">
        <v>27</v>
      </c>
      <c r="F11" s="2" t="s">
        <v>28</v>
      </c>
      <c r="G11" s="2" t="s">
        <v>50</v>
      </c>
      <c r="H11" s="2" t="s">
        <v>70</v>
      </c>
      <c r="I11" s="2" t="s">
        <v>50</v>
      </c>
      <c r="J11" s="2" t="s">
        <v>50</v>
      </c>
      <c r="K11" s="2" t="s">
        <v>71</v>
      </c>
      <c r="L11" s="2" t="s">
        <v>32</v>
      </c>
      <c r="M11" s="3">
        <v>450</v>
      </c>
      <c r="N11" s="3">
        <v>13.32</v>
      </c>
      <c r="O11" s="3">
        <v>2.4</v>
      </c>
      <c r="P11" s="3">
        <v>434.28</v>
      </c>
      <c r="Q11" s="3">
        <v>849.25</v>
      </c>
      <c r="R11" s="2" t="s">
        <v>72</v>
      </c>
      <c r="S11" s="2" t="s">
        <v>34</v>
      </c>
      <c r="T11" s="2" t="s">
        <v>73</v>
      </c>
      <c r="U11" s="2" t="s">
        <v>63</v>
      </c>
      <c r="V11" s="2" t="s">
        <v>74</v>
      </c>
      <c r="W11" s="2" t="s">
        <v>75</v>
      </c>
      <c r="X11" s="2"/>
      <c r="Y11" s="2"/>
      <c r="Z11">
        <v>604</v>
      </c>
      <c r="AA11" t="s">
        <v>39</v>
      </c>
    </row>
    <row r="12" spans="1:27" x14ac:dyDescent="0.25">
      <c r="A12" s="4" t="str">
        <f t="shared" si="0"/>
        <v>2111-634459</v>
      </c>
      <c r="B12" s="18" t="str">
        <f t="shared" si="1"/>
        <v>SERIE: CD8S9119- POS CONTACTLESS CHIP -  VAUCHER N° 0005457 -  OP: 634459</v>
      </c>
      <c r="C12" s="2" t="s">
        <v>25</v>
      </c>
      <c r="D12" s="2" t="s">
        <v>26</v>
      </c>
      <c r="E12" s="2" t="s">
        <v>27</v>
      </c>
      <c r="F12" s="2" t="s">
        <v>28</v>
      </c>
      <c r="G12" s="2" t="s">
        <v>50</v>
      </c>
      <c r="H12" s="2" t="s">
        <v>76</v>
      </c>
      <c r="I12" s="2" t="s">
        <v>50</v>
      </c>
      <c r="J12" s="2" t="s">
        <v>50</v>
      </c>
      <c r="K12" s="2" t="s">
        <v>71</v>
      </c>
      <c r="L12" s="2" t="s">
        <v>32</v>
      </c>
      <c r="M12" s="3">
        <v>105</v>
      </c>
      <c r="N12" s="3">
        <v>3.11</v>
      </c>
      <c r="O12" s="3">
        <v>0.56000000000000005</v>
      </c>
      <c r="P12" s="3">
        <v>101.33</v>
      </c>
      <c r="Q12" s="3">
        <v>0</v>
      </c>
      <c r="R12" s="2" t="s">
        <v>72</v>
      </c>
      <c r="S12" s="2" t="s">
        <v>34</v>
      </c>
      <c r="T12" s="2" t="s">
        <v>77</v>
      </c>
      <c r="U12" s="2" t="s">
        <v>36</v>
      </c>
      <c r="V12" s="2" t="s">
        <v>78</v>
      </c>
      <c r="W12" s="2">
        <v>634459</v>
      </c>
      <c r="X12" s="2"/>
      <c r="Y12" s="2"/>
      <c r="Z12">
        <v>604</v>
      </c>
      <c r="AA12" t="s">
        <v>39</v>
      </c>
    </row>
    <row r="13" spans="1:27" x14ac:dyDescent="0.25">
      <c r="A13" s="4" t="str">
        <f t="shared" si="0"/>
        <v>2111-184430</v>
      </c>
      <c r="B13" s="18" t="str">
        <f t="shared" si="1"/>
        <v>SERIE: MPP001LL3- POS QR -  VAUCHER N° 7019849 -  OP: 184430</v>
      </c>
      <c r="C13" s="2" t="s">
        <v>25</v>
      </c>
      <c r="D13" s="2" t="s">
        <v>26</v>
      </c>
      <c r="E13" s="2" t="s">
        <v>43</v>
      </c>
      <c r="F13" s="2" t="s">
        <v>28</v>
      </c>
      <c r="G13" s="2" t="s">
        <v>50</v>
      </c>
      <c r="H13" s="2" t="s">
        <v>79</v>
      </c>
      <c r="I13" s="2" t="s">
        <v>71</v>
      </c>
      <c r="J13" s="2" t="s">
        <v>50</v>
      </c>
      <c r="K13" s="2" t="s">
        <v>71</v>
      </c>
      <c r="L13" s="2" t="s">
        <v>32</v>
      </c>
      <c r="M13" s="3">
        <v>45</v>
      </c>
      <c r="N13" s="3">
        <v>1.33</v>
      </c>
      <c r="O13" s="3">
        <v>0.24</v>
      </c>
      <c r="P13" s="3">
        <v>43.43</v>
      </c>
      <c r="Q13" s="3">
        <v>0</v>
      </c>
      <c r="R13" s="2" t="s">
        <v>72</v>
      </c>
      <c r="S13" s="2" t="s">
        <v>45</v>
      </c>
      <c r="T13" s="2">
        <v>7019849</v>
      </c>
      <c r="U13" s="2" t="s">
        <v>36</v>
      </c>
      <c r="V13" s="2" t="s">
        <v>80</v>
      </c>
      <c r="W13" s="2">
        <v>184430</v>
      </c>
      <c r="X13" s="2"/>
      <c r="Y13" s="2"/>
      <c r="Z13">
        <v>604</v>
      </c>
      <c r="AA13" t="s">
        <v>48</v>
      </c>
    </row>
    <row r="14" spans="1:27" x14ac:dyDescent="0.25">
      <c r="A14" s="4" t="str">
        <f t="shared" si="0"/>
        <v>2111-071506</v>
      </c>
      <c r="B14" s="18" t="str">
        <f t="shared" si="1"/>
        <v>SERIE: MPP001LL3- POS QR -  VAUCHER N° 1023636 -  OP: 071506</v>
      </c>
      <c r="C14" s="2" t="s">
        <v>25</v>
      </c>
      <c r="D14" s="2" t="s">
        <v>26</v>
      </c>
      <c r="E14" s="2" t="s">
        <v>43</v>
      </c>
      <c r="F14" s="2" t="s">
        <v>28</v>
      </c>
      <c r="G14" s="2" t="s">
        <v>50</v>
      </c>
      <c r="H14" s="2" t="s">
        <v>81</v>
      </c>
      <c r="I14" s="2" t="s">
        <v>71</v>
      </c>
      <c r="J14" s="2" t="s">
        <v>50</v>
      </c>
      <c r="K14" s="2" t="s">
        <v>71</v>
      </c>
      <c r="L14" s="2" t="s">
        <v>32</v>
      </c>
      <c r="M14" s="3">
        <v>60</v>
      </c>
      <c r="N14" s="3">
        <v>1.78</v>
      </c>
      <c r="O14" s="3">
        <v>0.32</v>
      </c>
      <c r="P14" s="3">
        <v>57.9</v>
      </c>
      <c r="Q14" s="3">
        <v>0</v>
      </c>
      <c r="R14" s="2" t="s">
        <v>72</v>
      </c>
      <c r="S14" s="2" t="s">
        <v>45</v>
      </c>
      <c r="T14" s="2">
        <v>1023636</v>
      </c>
      <c r="U14" s="2" t="s">
        <v>36</v>
      </c>
      <c r="V14" s="2" t="s">
        <v>82</v>
      </c>
      <c r="W14" s="2" t="s">
        <v>83</v>
      </c>
      <c r="X14" s="2"/>
      <c r="Y14" s="2"/>
      <c r="Z14">
        <v>604</v>
      </c>
      <c r="AA14" t="s">
        <v>48</v>
      </c>
    </row>
    <row r="15" spans="1:27" x14ac:dyDescent="0.25">
      <c r="A15" s="4" t="str">
        <f t="shared" si="0"/>
        <v>2111-045652</v>
      </c>
      <c r="B15" s="18" t="str">
        <f t="shared" si="1"/>
        <v>SERIE: MPP001LL3- POS QR -  VAUCHER N° 0003644 -  OP: 045652</v>
      </c>
      <c r="C15" s="2" t="s">
        <v>25</v>
      </c>
      <c r="D15" s="2" t="s">
        <v>26</v>
      </c>
      <c r="E15" s="2" t="s">
        <v>43</v>
      </c>
      <c r="F15" s="2" t="s">
        <v>28</v>
      </c>
      <c r="G15" s="2" t="s">
        <v>50</v>
      </c>
      <c r="H15" s="2" t="s">
        <v>84</v>
      </c>
      <c r="I15" s="2" t="s">
        <v>71</v>
      </c>
      <c r="J15" s="2" t="s">
        <v>50</v>
      </c>
      <c r="K15" s="2" t="s">
        <v>71</v>
      </c>
      <c r="L15" s="2" t="s">
        <v>32</v>
      </c>
      <c r="M15" s="3">
        <v>20</v>
      </c>
      <c r="N15" s="3">
        <v>0.59</v>
      </c>
      <c r="O15" s="3">
        <v>0.11</v>
      </c>
      <c r="P15" s="3">
        <v>19.3</v>
      </c>
      <c r="Q15" s="3">
        <v>0</v>
      </c>
      <c r="R15" s="2" t="s">
        <v>72</v>
      </c>
      <c r="S15" s="2" t="s">
        <v>45</v>
      </c>
      <c r="T15" s="2" t="s">
        <v>85</v>
      </c>
      <c r="U15" s="2" t="s">
        <v>36</v>
      </c>
      <c r="V15" s="2" t="s">
        <v>46</v>
      </c>
      <c r="W15" s="2" t="s">
        <v>86</v>
      </c>
      <c r="X15" s="2"/>
      <c r="Y15" s="2"/>
      <c r="Z15">
        <v>604</v>
      </c>
      <c r="AA15" t="s">
        <v>48</v>
      </c>
    </row>
    <row r="16" spans="1:27" x14ac:dyDescent="0.25">
      <c r="A16" s="4" t="str">
        <f t="shared" si="0"/>
        <v>2111-762926</v>
      </c>
      <c r="B16" s="18" t="str">
        <f t="shared" si="1"/>
        <v>SERIE: PAYZEN- POS VIRTUAL -  VAUCHER N° 6840463 -  OP: 762926</v>
      </c>
      <c r="C16" s="2" t="s">
        <v>25</v>
      </c>
      <c r="D16" s="2" t="s">
        <v>26</v>
      </c>
      <c r="E16" s="2" t="s">
        <v>66</v>
      </c>
      <c r="F16" s="2" t="s">
        <v>28</v>
      </c>
      <c r="G16" s="2" t="s">
        <v>50</v>
      </c>
      <c r="H16" s="2" t="s">
        <v>87</v>
      </c>
      <c r="I16" s="2" t="s">
        <v>71</v>
      </c>
      <c r="J16" s="2" t="s">
        <v>50</v>
      </c>
      <c r="K16" s="2" t="s">
        <v>71</v>
      </c>
      <c r="L16" s="2" t="s">
        <v>32</v>
      </c>
      <c r="M16" s="3">
        <v>45</v>
      </c>
      <c r="N16" s="3">
        <v>1.33</v>
      </c>
      <c r="O16" s="3">
        <v>0.24</v>
      </c>
      <c r="P16" s="3">
        <v>43.43</v>
      </c>
      <c r="Q16" s="3">
        <v>0</v>
      </c>
      <c r="R16" s="2"/>
      <c r="S16" s="2"/>
      <c r="T16" s="2">
        <v>6840463</v>
      </c>
      <c r="U16" s="2" t="s">
        <v>36</v>
      </c>
      <c r="V16" s="2" t="s">
        <v>88</v>
      </c>
      <c r="W16" s="2">
        <v>762926</v>
      </c>
      <c r="X16" s="2"/>
      <c r="Y16" s="2"/>
      <c r="Z16">
        <v>604</v>
      </c>
      <c r="AA16" t="s">
        <v>65</v>
      </c>
    </row>
    <row r="17" spans="1:27" x14ac:dyDescent="0.25">
      <c r="A17" s="4" t="str">
        <f t="shared" si="0"/>
        <v>2111-532876</v>
      </c>
      <c r="B17" s="18" t="str">
        <f t="shared" si="1"/>
        <v>SERIE: PAYZEN- POS VIRTUAL -  VAUCHER N° 6391443 -  OP: 532876</v>
      </c>
      <c r="C17" s="2" t="s">
        <v>25</v>
      </c>
      <c r="D17" s="2" t="s">
        <v>26</v>
      </c>
      <c r="E17" s="2" t="s">
        <v>66</v>
      </c>
      <c r="F17" s="2" t="s">
        <v>28</v>
      </c>
      <c r="G17" s="2" t="s">
        <v>50</v>
      </c>
      <c r="H17" s="2" t="s">
        <v>89</v>
      </c>
      <c r="I17" s="2" t="s">
        <v>71</v>
      </c>
      <c r="J17" s="2" t="s">
        <v>50</v>
      </c>
      <c r="K17" s="2" t="s">
        <v>71</v>
      </c>
      <c r="L17" s="2" t="s">
        <v>32</v>
      </c>
      <c r="M17" s="3">
        <v>155</v>
      </c>
      <c r="N17" s="3">
        <v>4.59</v>
      </c>
      <c r="O17" s="3">
        <v>0.83</v>
      </c>
      <c r="P17" s="3">
        <v>149.58000000000001</v>
      </c>
      <c r="Q17" s="3">
        <v>0</v>
      </c>
      <c r="R17" s="2"/>
      <c r="S17" s="2"/>
      <c r="T17" s="2">
        <v>6391443</v>
      </c>
      <c r="U17" s="2" t="s">
        <v>36</v>
      </c>
      <c r="V17" s="2" t="s">
        <v>90</v>
      </c>
      <c r="W17" s="2">
        <v>532876</v>
      </c>
      <c r="X17" s="2"/>
      <c r="Y17" s="2"/>
      <c r="Z17">
        <v>604</v>
      </c>
      <c r="AA17" t="s">
        <v>65</v>
      </c>
    </row>
    <row r="18" spans="1:27" x14ac:dyDescent="0.25">
      <c r="A18" s="4" t="str">
        <f t="shared" si="0"/>
        <v>2111-008053</v>
      </c>
      <c r="B18" s="18" t="str">
        <f t="shared" si="1"/>
        <v>SERIE: CD8S9119- POS CONTACTLESS CHIP -  VAUCHER N° 0005486 -  OP: 008053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71</v>
      </c>
      <c r="H18" s="2" t="s">
        <v>91</v>
      </c>
      <c r="I18" s="2" t="s">
        <v>71</v>
      </c>
      <c r="J18" s="2" t="s">
        <v>71</v>
      </c>
      <c r="K18" s="2" t="s">
        <v>92</v>
      </c>
      <c r="L18" s="2" t="s">
        <v>32</v>
      </c>
      <c r="M18" s="3">
        <v>65</v>
      </c>
      <c r="N18" s="3">
        <v>1.92</v>
      </c>
      <c r="O18" s="3">
        <v>0.35</v>
      </c>
      <c r="P18" s="3">
        <v>62.73</v>
      </c>
      <c r="Q18" s="3">
        <v>943.85</v>
      </c>
      <c r="R18" s="2" t="s">
        <v>93</v>
      </c>
      <c r="S18" s="2" t="s">
        <v>34</v>
      </c>
      <c r="T18" s="2" t="s">
        <v>94</v>
      </c>
      <c r="U18" s="2" t="s">
        <v>36</v>
      </c>
      <c r="V18" s="2" t="s">
        <v>95</v>
      </c>
      <c r="W18" s="2" t="s">
        <v>96</v>
      </c>
      <c r="X18" s="2"/>
      <c r="Y18" s="2"/>
      <c r="Z18">
        <v>604</v>
      </c>
      <c r="AA18" t="s">
        <v>39</v>
      </c>
    </row>
    <row r="19" spans="1:27" x14ac:dyDescent="0.25">
      <c r="A19" s="4" t="str">
        <f t="shared" si="0"/>
        <v>2111-044933</v>
      </c>
      <c r="B19" s="18" t="str">
        <f t="shared" si="1"/>
        <v>SERIE: CD8S9119- POS CONTACTLESS CHIP -  VAUCHER N° 0005475 -  OP: 044933</v>
      </c>
      <c r="C19" s="2" t="s">
        <v>25</v>
      </c>
      <c r="D19" s="2" t="s">
        <v>26</v>
      </c>
      <c r="E19" s="2" t="s">
        <v>27</v>
      </c>
      <c r="F19" s="2" t="s">
        <v>28</v>
      </c>
      <c r="G19" s="2" t="s">
        <v>71</v>
      </c>
      <c r="H19" s="2" t="s">
        <v>97</v>
      </c>
      <c r="I19" s="2" t="s">
        <v>71</v>
      </c>
      <c r="J19" s="2" t="s">
        <v>71</v>
      </c>
      <c r="K19" s="2" t="s">
        <v>92</v>
      </c>
      <c r="L19" s="2" t="s">
        <v>32</v>
      </c>
      <c r="M19" s="3">
        <v>115</v>
      </c>
      <c r="N19" s="3">
        <v>3.4</v>
      </c>
      <c r="O19" s="3">
        <v>0.61</v>
      </c>
      <c r="P19" s="3">
        <v>110.99</v>
      </c>
      <c r="Q19" s="3">
        <v>0</v>
      </c>
      <c r="R19" s="2" t="s">
        <v>93</v>
      </c>
      <c r="S19" s="2" t="s">
        <v>34</v>
      </c>
      <c r="T19" s="2" t="s">
        <v>98</v>
      </c>
      <c r="U19" s="2" t="s">
        <v>36</v>
      </c>
      <c r="V19" s="2" t="s">
        <v>99</v>
      </c>
      <c r="W19" s="2" t="s">
        <v>100</v>
      </c>
      <c r="X19" s="2"/>
      <c r="Y19" s="2"/>
      <c r="Z19">
        <v>604</v>
      </c>
      <c r="AA19" t="s">
        <v>39</v>
      </c>
    </row>
    <row r="20" spans="1:27" x14ac:dyDescent="0.25">
      <c r="A20" s="4" t="str">
        <f t="shared" si="0"/>
        <v>2111-151404</v>
      </c>
      <c r="B20" s="18" t="str">
        <f t="shared" si="1"/>
        <v>SERIE: MPP001LL3- POS QR -  VAUCHER N° 5026173 -  OP: 151404</v>
      </c>
      <c r="C20" s="2" t="s">
        <v>25</v>
      </c>
      <c r="D20" s="2" t="s">
        <v>26</v>
      </c>
      <c r="E20" s="2" t="s">
        <v>43</v>
      </c>
      <c r="F20" s="2" t="s">
        <v>28</v>
      </c>
      <c r="G20" s="2" t="s">
        <v>71</v>
      </c>
      <c r="H20" s="2" t="s">
        <v>101</v>
      </c>
      <c r="I20" s="2" t="s">
        <v>92</v>
      </c>
      <c r="J20" s="2" t="s">
        <v>71</v>
      </c>
      <c r="K20" s="2" t="s">
        <v>92</v>
      </c>
      <c r="L20" s="2" t="s">
        <v>32</v>
      </c>
      <c r="M20" s="3">
        <v>75</v>
      </c>
      <c r="N20" s="3">
        <v>2.2200000000000002</v>
      </c>
      <c r="O20" s="3">
        <v>0.4</v>
      </c>
      <c r="P20" s="3">
        <v>72.38</v>
      </c>
      <c r="Q20" s="3">
        <v>0</v>
      </c>
      <c r="R20" s="2" t="s">
        <v>93</v>
      </c>
      <c r="S20" s="2" t="s">
        <v>45</v>
      </c>
      <c r="T20" s="2">
        <v>5026173</v>
      </c>
      <c r="U20" s="2" t="s">
        <v>36</v>
      </c>
      <c r="V20" s="2" t="s">
        <v>102</v>
      </c>
      <c r="W20" s="2">
        <v>151404</v>
      </c>
      <c r="X20" s="2"/>
      <c r="Y20" s="2"/>
      <c r="Z20">
        <v>604</v>
      </c>
      <c r="AA20" t="s">
        <v>48</v>
      </c>
    </row>
    <row r="21" spans="1:27" x14ac:dyDescent="0.25">
      <c r="A21" s="4" t="str">
        <f t="shared" si="0"/>
        <v>2111-148389</v>
      </c>
      <c r="B21" s="18" t="str">
        <f t="shared" si="1"/>
        <v>SERIE: MPP001LL3- POS QR -  VAUCHER N° 5019984 -  OP: 148389</v>
      </c>
      <c r="C21" s="2" t="s">
        <v>25</v>
      </c>
      <c r="D21" s="2" t="s">
        <v>26</v>
      </c>
      <c r="E21" s="2" t="s">
        <v>43</v>
      </c>
      <c r="F21" s="2" t="s">
        <v>28</v>
      </c>
      <c r="G21" s="2" t="s">
        <v>71</v>
      </c>
      <c r="H21" s="2" t="s">
        <v>103</v>
      </c>
      <c r="I21" s="2" t="s">
        <v>92</v>
      </c>
      <c r="J21" s="2" t="s">
        <v>71</v>
      </c>
      <c r="K21" s="2" t="s">
        <v>92</v>
      </c>
      <c r="L21" s="2" t="s">
        <v>32</v>
      </c>
      <c r="M21" s="3">
        <v>45</v>
      </c>
      <c r="N21" s="3">
        <v>1.33</v>
      </c>
      <c r="O21" s="3">
        <v>0.24</v>
      </c>
      <c r="P21" s="3">
        <v>43.43</v>
      </c>
      <c r="Q21" s="3">
        <v>0</v>
      </c>
      <c r="R21" s="2" t="s">
        <v>93</v>
      </c>
      <c r="S21" s="2" t="s">
        <v>45</v>
      </c>
      <c r="T21" s="2">
        <v>5019984</v>
      </c>
      <c r="U21" s="2" t="s">
        <v>36</v>
      </c>
      <c r="V21" s="2" t="s">
        <v>104</v>
      </c>
      <c r="W21" s="2">
        <v>148389</v>
      </c>
      <c r="X21" s="2"/>
      <c r="Y21" s="2"/>
      <c r="Z21">
        <v>604</v>
      </c>
      <c r="AA21" t="s">
        <v>48</v>
      </c>
    </row>
    <row r="22" spans="1:27" x14ac:dyDescent="0.25">
      <c r="A22" s="4" t="str">
        <f t="shared" si="0"/>
        <v>2111-150576</v>
      </c>
      <c r="B22" s="18" t="str">
        <f t="shared" si="1"/>
        <v>SERIE: MPP001LL3- POS QR -  VAUCHER N° 5024465 -  OP: 150576</v>
      </c>
      <c r="C22" s="2" t="s">
        <v>25</v>
      </c>
      <c r="D22" s="2" t="s">
        <v>26</v>
      </c>
      <c r="E22" s="2" t="s">
        <v>43</v>
      </c>
      <c r="F22" s="2" t="s">
        <v>28</v>
      </c>
      <c r="G22" s="2" t="s">
        <v>71</v>
      </c>
      <c r="H22" s="2" t="s">
        <v>105</v>
      </c>
      <c r="I22" s="2" t="s">
        <v>92</v>
      </c>
      <c r="J22" s="2" t="s">
        <v>71</v>
      </c>
      <c r="K22" s="2" t="s">
        <v>92</v>
      </c>
      <c r="L22" s="2" t="s">
        <v>32</v>
      </c>
      <c r="M22" s="3">
        <v>75</v>
      </c>
      <c r="N22" s="3">
        <v>2.2200000000000002</v>
      </c>
      <c r="O22" s="3">
        <v>0.4</v>
      </c>
      <c r="P22" s="3">
        <v>72.38</v>
      </c>
      <c r="Q22" s="3">
        <v>0</v>
      </c>
      <c r="R22" s="2" t="s">
        <v>93</v>
      </c>
      <c r="S22" s="2" t="s">
        <v>45</v>
      </c>
      <c r="T22" s="2">
        <v>5024465</v>
      </c>
      <c r="U22" s="2" t="s">
        <v>36</v>
      </c>
      <c r="V22" s="2" t="s">
        <v>102</v>
      </c>
      <c r="W22" s="2">
        <v>150576</v>
      </c>
      <c r="X22" s="2"/>
      <c r="Y22" s="2"/>
      <c r="Z22">
        <v>604</v>
      </c>
      <c r="AA22" t="s">
        <v>48</v>
      </c>
    </row>
    <row r="23" spans="1:27" x14ac:dyDescent="0.25">
      <c r="A23" s="4" t="str">
        <f t="shared" si="0"/>
        <v>2111-000573</v>
      </c>
      <c r="B23" s="18" t="str">
        <f t="shared" si="1"/>
        <v>SERIE: PAYZEN- POS VIRTUAL -  VAUCHER N° 7201911 -  OP: 000573</v>
      </c>
      <c r="C23" s="2" t="s">
        <v>25</v>
      </c>
      <c r="D23" s="2" t="s">
        <v>26</v>
      </c>
      <c r="E23" s="2" t="s">
        <v>66</v>
      </c>
      <c r="F23" s="2" t="s">
        <v>28</v>
      </c>
      <c r="G23" s="2" t="s">
        <v>71</v>
      </c>
      <c r="H23" s="2" t="s">
        <v>106</v>
      </c>
      <c r="I23" s="2" t="s">
        <v>92</v>
      </c>
      <c r="J23" s="2" t="s">
        <v>71</v>
      </c>
      <c r="K23" s="2" t="s">
        <v>92</v>
      </c>
      <c r="L23" s="2" t="s">
        <v>32</v>
      </c>
      <c r="M23" s="3">
        <v>400</v>
      </c>
      <c r="N23" s="3">
        <v>11.84</v>
      </c>
      <c r="O23" s="3">
        <v>2.13</v>
      </c>
      <c r="P23" s="3">
        <v>386.03</v>
      </c>
      <c r="Q23" s="3">
        <v>0</v>
      </c>
      <c r="R23" s="2"/>
      <c r="S23" s="2"/>
      <c r="T23" s="2">
        <v>7201911</v>
      </c>
      <c r="U23" s="2" t="s">
        <v>36</v>
      </c>
      <c r="V23" s="2" t="s">
        <v>107</v>
      </c>
      <c r="W23" s="2" t="s">
        <v>108</v>
      </c>
      <c r="X23" s="2"/>
      <c r="Y23" s="2"/>
      <c r="Z23">
        <v>604</v>
      </c>
      <c r="AA23" t="s">
        <v>65</v>
      </c>
    </row>
    <row r="24" spans="1:27" x14ac:dyDescent="0.25">
      <c r="A24" s="4" t="str">
        <f t="shared" si="0"/>
        <v>2111-039895</v>
      </c>
      <c r="B24" s="18" t="str">
        <f t="shared" si="1"/>
        <v>SERIE: PAYZEN- POS VIRTUAL -  VAUCHER N° 8292662 -  OP: 039895</v>
      </c>
      <c r="C24" s="2" t="s">
        <v>25</v>
      </c>
      <c r="D24" s="2" t="s">
        <v>26</v>
      </c>
      <c r="E24" s="2" t="s">
        <v>66</v>
      </c>
      <c r="F24" s="2" t="s">
        <v>28</v>
      </c>
      <c r="G24" s="2" t="s">
        <v>71</v>
      </c>
      <c r="H24" s="2" t="s">
        <v>109</v>
      </c>
      <c r="I24" s="2" t="s">
        <v>92</v>
      </c>
      <c r="J24" s="2" t="s">
        <v>71</v>
      </c>
      <c r="K24" s="2" t="s">
        <v>92</v>
      </c>
      <c r="L24" s="2" t="s">
        <v>32</v>
      </c>
      <c r="M24" s="3">
        <v>203</v>
      </c>
      <c r="N24" s="3">
        <v>6.01</v>
      </c>
      <c r="O24" s="3">
        <v>1.08</v>
      </c>
      <c r="P24" s="3">
        <v>195.91</v>
      </c>
      <c r="Q24" s="3">
        <v>0</v>
      </c>
      <c r="R24" s="2"/>
      <c r="S24" s="2"/>
      <c r="T24" s="2">
        <v>8292662</v>
      </c>
      <c r="U24" s="2" t="s">
        <v>36</v>
      </c>
      <c r="V24" s="2" t="s">
        <v>110</v>
      </c>
      <c r="W24" s="2" t="s">
        <v>111</v>
      </c>
      <c r="X24" s="2" t="s">
        <v>112</v>
      </c>
      <c r="Y24" s="2"/>
      <c r="Z24">
        <v>604</v>
      </c>
      <c r="AA24" t="s">
        <v>65</v>
      </c>
    </row>
    <row r="25" spans="1:27" x14ac:dyDescent="0.25">
      <c r="A25" s="4" t="str">
        <f t="shared" si="0"/>
        <v>2111-082804</v>
      </c>
      <c r="B25" s="18" t="str">
        <f t="shared" si="1"/>
        <v>SERIE: MPP001LL3- POS QR -  VAUCHER N° 1037527 -  OP: 082804</v>
      </c>
      <c r="C25" s="2" t="s">
        <v>25</v>
      </c>
      <c r="D25" s="2" t="s">
        <v>26</v>
      </c>
      <c r="E25" s="2" t="s">
        <v>43</v>
      </c>
      <c r="F25" s="2" t="s">
        <v>28</v>
      </c>
      <c r="G25" s="2" t="s">
        <v>92</v>
      </c>
      <c r="H25" s="2" t="s">
        <v>113</v>
      </c>
      <c r="I25" s="2" t="s">
        <v>92</v>
      </c>
      <c r="J25" s="2" t="s">
        <v>92</v>
      </c>
      <c r="K25" s="2" t="s">
        <v>114</v>
      </c>
      <c r="L25" s="2" t="s">
        <v>32</v>
      </c>
      <c r="M25" s="3">
        <v>380</v>
      </c>
      <c r="N25" s="3">
        <v>11.25</v>
      </c>
      <c r="O25" s="3">
        <v>2.0299999999999998</v>
      </c>
      <c r="P25" s="3">
        <v>366.72</v>
      </c>
      <c r="Q25" s="3">
        <v>2243.79</v>
      </c>
      <c r="R25" s="2" t="s">
        <v>115</v>
      </c>
      <c r="S25" s="2" t="s">
        <v>45</v>
      </c>
      <c r="T25" s="2">
        <v>1037527</v>
      </c>
      <c r="U25" s="2" t="s">
        <v>36</v>
      </c>
      <c r="V25" s="2" t="s">
        <v>116</v>
      </c>
      <c r="W25" s="2" t="s">
        <v>117</v>
      </c>
      <c r="X25" s="2"/>
      <c r="Y25" s="2"/>
      <c r="Z25">
        <v>604</v>
      </c>
      <c r="AA25" t="s">
        <v>48</v>
      </c>
    </row>
    <row r="26" spans="1:27" x14ac:dyDescent="0.25">
      <c r="A26" s="4" t="str">
        <f t="shared" si="0"/>
        <v>2111-152000</v>
      </c>
      <c r="B26" s="18" t="str">
        <f t="shared" si="1"/>
        <v>SERIE: MPP001LL3- POS QR -  VAUCHER N° 5011460 -  OP: 152000</v>
      </c>
      <c r="C26" s="2" t="s">
        <v>25</v>
      </c>
      <c r="D26" s="2" t="s">
        <v>26</v>
      </c>
      <c r="E26" s="2" t="s">
        <v>43</v>
      </c>
      <c r="F26" s="2" t="s">
        <v>28</v>
      </c>
      <c r="G26" s="2" t="s">
        <v>92</v>
      </c>
      <c r="H26" s="2" t="s">
        <v>118</v>
      </c>
      <c r="I26" s="2" t="s">
        <v>92</v>
      </c>
      <c r="J26" s="2" t="s">
        <v>92</v>
      </c>
      <c r="K26" s="2" t="s">
        <v>114</v>
      </c>
      <c r="L26" s="2" t="s">
        <v>32</v>
      </c>
      <c r="M26" s="3">
        <v>45</v>
      </c>
      <c r="N26" s="3">
        <v>1.33</v>
      </c>
      <c r="O26" s="3">
        <v>0.24</v>
      </c>
      <c r="P26" s="3">
        <v>43.43</v>
      </c>
      <c r="Q26" s="3">
        <v>0</v>
      </c>
      <c r="R26" s="2" t="s">
        <v>115</v>
      </c>
      <c r="S26" s="2" t="s">
        <v>45</v>
      </c>
      <c r="T26" s="2">
        <v>5011460</v>
      </c>
      <c r="U26" s="2" t="s">
        <v>36</v>
      </c>
      <c r="V26" s="2" t="s">
        <v>119</v>
      </c>
      <c r="W26" s="2">
        <v>152000</v>
      </c>
      <c r="X26" s="2"/>
      <c r="Y26" s="2"/>
      <c r="Z26">
        <v>604</v>
      </c>
      <c r="AA26" t="s">
        <v>48</v>
      </c>
    </row>
    <row r="27" spans="1:27" x14ac:dyDescent="0.25">
      <c r="A27" s="4" t="str">
        <f t="shared" si="0"/>
        <v>2111-195673</v>
      </c>
      <c r="B27" s="18" t="str">
        <f t="shared" si="1"/>
        <v>SERIE: MPP001LL3- POS QR -  VAUCHER N° 7024337 -  OP: 195673</v>
      </c>
      <c r="C27" s="2" t="s">
        <v>25</v>
      </c>
      <c r="D27" s="2" t="s">
        <v>26</v>
      </c>
      <c r="E27" s="2" t="s">
        <v>43</v>
      </c>
      <c r="F27" s="2" t="s">
        <v>28</v>
      </c>
      <c r="G27" s="2" t="s">
        <v>92</v>
      </c>
      <c r="H27" s="2" t="s">
        <v>120</v>
      </c>
      <c r="I27" s="2" t="s">
        <v>92</v>
      </c>
      <c r="J27" s="2" t="s">
        <v>92</v>
      </c>
      <c r="K27" s="2" t="s">
        <v>114</v>
      </c>
      <c r="L27" s="2" t="s">
        <v>32</v>
      </c>
      <c r="M27" s="3">
        <v>204</v>
      </c>
      <c r="N27" s="3">
        <v>6.04</v>
      </c>
      <c r="O27" s="3">
        <v>1.0900000000000001</v>
      </c>
      <c r="P27" s="3">
        <v>196.87</v>
      </c>
      <c r="Q27" s="3">
        <v>0</v>
      </c>
      <c r="R27" s="2" t="s">
        <v>115</v>
      </c>
      <c r="S27" s="2" t="s">
        <v>45</v>
      </c>
      <c r="T27" s="2">
        <v>7024337</v>
      </c>
      <c r="U27" s="2" t="s">
        <v>36</v>
      </c>
      <c r="V27" s="2" t="s">
        <v>121</v>
      </c>
      <c r="W27" s="2">
        <v>195673</v>
      </c>
      <c r="X27" s="2"/>
      <c r="Y27" s="2"/>
      <c r="Z27">
        <v>604</v>
      </c>
      <c r="AA27" t="s">
        <v>48</v>
      </c>
    </row>
    <row r="28" spans="1:27" x14ac:dyDescent="0.25">
      <c r="A28" s="4" t="str">
        <f t="shared" si="0"/>
        <v>2111-104924</v>
      </c>
      <c r="B28" s="18" t="str">
        <f t="shared" si="1"/>
        <v>SERIE: MPP001LL3- POS QR -  VAUCHER N° 3003280 -  OP: 104924</v>
      </c>
      <c r="C28" s="2" t="s">
        <v>25</v>
      </c>
      <c r="D28" s="2" t="s">
        <v>26</v>
      </c>
      <c r="E28" s="2" t="s">
        <v>43</v>
      </c>
      <c r="F28" s="2" t="s">
        <v>28</v>
      </c>
      <c r="G28" s="2" t="s">
        <v>92</v>
      </c>
      <c r="H28" s="2" t="s">
        <v>122</v>
      </c>
      <c r="I28" s="2" t="s">
        <v>92</v>
      </c>
      <c r="J28" s="2" t="s">
        <v>92</v>
      </c>
      <c r="K28" s="2" t="s">
        <v>114</v>
      </c>
      <c r="L28" s="2" t="s">
        <v>32</v>
      </c>
      <c r="M28" s="3">
        <v>180</v>
      </c>
      <c r="N28" s="3">
        <v>5.33</v>
      </c>
      <c r="O28" s="3">
        <v>0.96</v>
      </c>
      <c r="P28" s="3">
        <v>173.71</v>
      </c>
      <c r="Q28" s="3">
        <v>0</v>
      </c>
      <c r="R28" s="2" t="s">
        <v>115</v>
      </c>
      <c r="S28" s="2" t="s">
        <v>45</v>
      </c>
      <c r="T28" s="2">
        <v>3003280</v>
      </c>
      <c r="U28" s="2" t="s">
        <v>36</v>
      </c>
      <c r="V28" s="2" t="s">
        <v>123</v>
      </c>
      <c r="W28" s="2">
        <v>104924</v>
      </c>
      <c r="X28" s="2"/>
      <c r="Y28" s="2"/>
      <c r="Z28">
        <v>604</v>
      </c>
      <c r="AA28" t="s">
        <v>48</v>
      </c>
    </row>
    <row r="29" spans="1:27" x14ac:dyDescent="0.25">
      <c r="A29" s="4" t="str">
        <f t="shared" si="0"/>
        <v>2111-171099</v>
      </c>
      <c r="B29" s="18" t="str">
        <f t="shared" si="1"/>
        <v>SERIE: MPP001LL3- POS QR -  VAUCHER N° 6013517 -  OP: 171099</v>
      </c>
      <c r="C29" s="2" t="s">
        <v>25</v>
      </c>
      <c r="D29" s="2" t="s">
        <v>26</v>
      </c>
      <c r="E29" s="2" t="s">
        <v>43</v>
      </c>
      <c r="F29" s="2" t="s">
        <v>28</v>
      </c>
      <c r="G29" s="2" t="s">
        <v>92</v>
      </c>
      <c r="H29" s="2" t="s">
        <v>124</v>
      </c>
      <c r="I29" s="2" t="s">
        <v>92</v>
      </c>
      <c r="J29" s="2" t="s">
        <v>92</v>
      </c>
      <c r="K29" s="2" t="s">
        <v>114</v>
      </c>
      <c r="L29" s="2" t="s">
        <v>32</v>
      </c>
      <c r="M29" s="3">
        <v>270</v>
      </c>
      <c r="N29" s="3">
        <v>7.99</v>
      </c>
      <c r="O29" s="3">
        <v>1.44</v>
      </c>
      <c r="P29" s="3">
        <v>260.57</v>
      </c>
      <c r="Q29" s="3">
        <v>0</v>
      </c>
      <c r="R29" s="2" t="s">
        <v>115</v>
      </c>
      <c r="S29" s="2" t="s">
        <v>45</v>
      </c>
      <c r="T29" s="2">
        <v>6013517</v>
      </c>
      <c r="U29" s="2" t="s">
        <v>36</v>
      </c>
      <c r="V29" s="2" t="s">
        <v>125</v>
      </c>
      <c r="W29" s="2">
        <v>171099</v>
      </c>
      <c r="X29" s="2"/>
      <c r="Y29" s="2"/>
      <c r="Z29">
        <v>604</v>
      </c>
      <c r="AA29" t="s">
        <v>48</v>
      </c>
    </row>
    <row r="30" spans="1:27" x14ac:dyDescent="0.25">
      <c r="A30" s="4" t="str">
        <f t="shared" si="0"/>
        <v>2111-760557</v>
      </c>
      <c r="B30" s="18" t="str">
        <f t="shared" si="1"/>
        <v>SERIE: PAYZEN- POS VIRTUAL -  VAUCHER N° 8198880 -  OP: 760557</v>
      </c>
      <c r="C30" s="2" t="s">
        <v>25</v>
      </c>
      <c r="D30" s="2" t="s">
        <v>26</v>
      </c>
      <c r="E30" s="2" t="s">
        <v>66</v>
      </c>
      <c r="F30" s="2" t="s">
        <v>28</v>
      </c>
      <c r="G30" s="2" t="s">
        <v>92</v>
      </c>
      <c r="H30" s="2" t="s">
        <v>126</v>
      </c>
      <c r="I30" s="2" t="s">
        <v>92</v>
      </c>
      <c r="J30" s="2" t="s">
        <v>92</v>
      </c>
      <c r="K30" s="2" t="s">
        <v>114</v>
      </c>
      <c r="L30" s="2" t="s">
        <v>32</v>
      </c>
      <c r="M30" s="3">
        <v>198</v>
      </c>
      <c r="N30" s="3">
        <v>5.86</v>
      </c>
      <c r="O30" s="3">
        <v>1.05</v>
      </c>
      <c r="P30" s="3">
        <v>191.09</v>
      </c>
      <c r="Q30" s="3">
        <v>0</v>
      </c>
      <c r="R30" s="2"/>
      <c r="S30" s="2"/>
      <c r="T30" s="2">
        <v>8198880</v>
      </c>
      <c r="U30" s="2" t="s">
        <v>36</v>
      </c>
      <c r="V30" s="2" t="s">
        <v>127</v>
      </c>
      <c r="W30" s="2">
        <v>760557</v>
      </c>
      <c r="X30" s="2"/>
      <c r="Y30" s="2"/>
      <c r="Z30">
        <v>604</v>
      </c>
      <c r="AA30" t="s">
        <v>65</v>
      </c>
    </row>
    <row r="31" spans="1:27" x14ac:dyDescent="0.25">
      <c r="A31" s="4" t="str">
        <f t="shared" si="0"/>
        <v>2111-233965</v>
      </c>
      <c r="B31" s="18" t="str">
        <f t="shared" si="1"/>
        <v>SERIE: PAYZEN- POS VIRTUAL -  VAUCHER N° 8990031 -  OP: 233965</v>
      </c>
      <c r="C31" s="2" t="s">
        <v>25</v>
      </c>
      <c r="D31" s="2" t="s">
        <v>26</v>
      </c>
      <c r="E31" s="2" t="s">
        <v>66</v>
      </c>
      <c r="F31" s="2" t="s">
        <v>28</v>
      </c>
      <c r="G31" s="2" t="s">
        <v>92</v>
      </c>
      <c r="H31" s="2" t="s">
        <v>128</v>
      </c>
      <c r="I31" s="2" t="s">
        <v>92</v>
      </c>
      <c r="J31" s="2" t="s">
        <v>92</v>
      </c>
      <c r="K31" s="2" t="s">
        <v>114</v>
      </c>
      <c r="L31" s="2" t="s">
        <v>32</v>
      </c>
      <c r="M31" s="3">
        <v>608</v>
      </c>
      <c r="N31" s="3">
        <v>18</v>
      </c>
      <c r="O31" s="3">
        <v>3.24</v>
      </c>
      <c r="P31" s="3">
        <v>586.76</v>
      </c>
      <c r="Q31" s="3">
        <v>0</v>
      </c>
      <c r="R31" s="2"/>
      <c r="S31" s="2"/>
      <c r="T31" s="2">
        <v>8990031</v>
      </c>
      <c r="U31" s="2" t="s">
        <v>36</v>
      </c>
      <c r="V31" s="2" t="s">
        <v>129</v>
      </c>
      <c r="W31" s="2">
        <v>233965</v>
      </c>
      <c r="X31" s="2"/>
      <c r="Y31" s="2"/>
      <c r="Z31">
        <v>604</v>
      </c>
      <c r="AA31" t="s">
        <v>65</v>
      </c>
    </row>
    <row r="32" spans="1:27" x14ac:dyDescent="0.25">
      <c r="A32" s="4" t="str">
        <f t="shared" si="0"/>
        <v>2111-007371</v>
      </c>
      <c r="B32" s="18" t="str">
        <f t="shared" si="1"/>
        <v>SERIE: CD8S9119- POS CONTACTLESS CHIP -  VAUCHER N° 0005512 -  OP: 007371</v>
      </c>
      <c r="C32" s="2" t="s">
        <v>25</v>
      </c>
      <c r="D32" s="2" t="s">
        <v>26</v>
      </c>
      <c r="E32" s="2" t="s">
        <v>27</v>
      </c>
      <c r="F32" s="2" t="s">
        <v>28</v>
      </c>
      <c r="G32" s="2" t="s">
        <v>92</v>
      </c>
      <c r="H32" s="2" t="s">
        <v>130</v>
      </c>
      <c r="I32" s="2" t="s">
        <v>92</v>
      </c>
      <c r="J32" s="2" t="s">
        <v>92</v>
      </c>
      <c r="K32" s="2" t="s">
        <v>114</v>
      </c>
      <c r="L32" s="2" t="s">
        <v>32</v>
      </c>
      <c r="M32" s="3">
        <v>440</v>
      </c>
      <c r="N32" s="3">
        <v>13.02</v>
      </c>
      <c r="O32" s="3">
        <v>2.34</v>
      </c>
      <c r="P32" s="3">
        <v>424.64</v>
      </c>
      <c r="Q32" s="3">
        <v>0</v>
      </c>
      <c r="R32" s="2" t="s">
        <v>115</v>
      </c>
      <c r="S32" s="2" t="s">
        <v>34</v>
      </c>
      <c r="T32" s="2" t="s">
        <v>131</v>
      </c>
      <c r="U32" s="2" t="s">
        <v>36</v>
      </c>
      <c r="V32" s="2" t="s">
        <v>132</v>
      </c>
      <c r="W32" s="2" t="s">
        <v>133</v>
      </c>
      <c r="X32" s="2"/>
      <c r="Y32" s="2"/>
      <c r="Z32">
        <v>604</v>
      </c>
      <c r="AA32" t="s">
        <v>39</v>
      </c>
    </row>
    <row r="33" spans="1:27" x14ac:dyDescent="0.25">
      <c r="A33" s="4" t="str">
        <f t="shared" si="0"/>
        <v>2111-165942</v>
      </c>
      <c r="B33" s="18" t="str">
        <f t="shared" si="1"/>
        <v>SERIE: MPP001LL3- POS QR -  VAUCHER N° 5034052 -  OP: 165942</v>
      </c>
      <c r="C33" s="2" t="s">
        <v>25</v>
      </c>
      <c r="D33" s="2" t="s">
        <v>26</v>
      </c>
      <c r="E33" s="2" t="s">
        <v>43</v>
      </c>
      <c r="F33" s="2" t="s">
        <v>28</v>
      </c>
      <c r="G33" s="2" t="s">
        <v>114</v>
      </c>
      <c r="H33" s="2" t="s">
        <v>134</v>
      </c>
      <c r="I33" s="2" t="s">
        <v>135</v>
      </c>
      <c r="J33" s="2" t="s">
        <v>114</v>
      </c>
      <c r="K33" s="2" t="s">
        <v>136</v>
      </c>
      <c r="L33" s="2" t="s">
        <v>32</v>
      </c>
      <c r="M33" s="3">
        <v>135</v>
      </c>
      <c r="N33" s="3">
        <v>4</v>
      </c>
      <c r="O33" s="3">
        <v>0.72</v>
      </c>
      <c r="P33" s="3">
        <v>130.28</v>
      </c>
      <c r="Q33" s="3">
        <v>866.62</v>
      </c>
      <c r="R33" s="2" t="s">
        <v>137</v>
      </c>
      <c r="S33" s="2" t="s">
        <v>45</v>
      </c>
      <c r="T33" s="2">
        <v>5034052</v>
      </c>
      <c r="U33" s="2" t="s">
        <v>36</v>
      </c>
      <c r="V33" s="2" t="s">
        <v>138</v>
      </c>
      <c r="W33" s="2">
        <v>165942</v>
      </c>
      <c r="X33" s="2"/>
      <c r="Y33" s="2"/>
      <c r="Z33">
        <v>604</v>
      </c>
      <c r="AA33" t="s">
        <v>48</v>
      </c>
    </row>
    <row r="34" spans="1:27" x14ac:dyDescent="0.25">
      <c r="A34" s="4" t="str">
        <f t="shared" si="0"/>
        <v>2111-191801</v>
      </c>
      <c r="B34" s="18" t="str">
        <f t="shared" si="1"/>
        <v>SERIE: MPP001LL3- POS QR -  VAUCHER N° 7006588 -  OP: 191801</v>
      </c>
      <c r="C34" s="2" t="s">
        <v>25</v>
      </c>
      <c r="D34" s="2" t="s">
        <v>26</v>
      </c>
      <c r="E34" s="2" t="s">
        <v>43</v>
      </c>
      <c r="F34" s="2" t="s">
        <v>28</v>
      </c>
      <c r="G34" s="2" t="s">
        <v>114</v>
      </c>
      <c r="H34" s="2" t="s">
        <v>139</v>
      </c>
      <c r="I34" s="2" t="s">
        <v>135</v>
      </c>
      <c r="J34" s="2" t="s">
        <v>114</v>
      </c>
      <c r="K34" s="2" t="s">
        <v>136</v>
      </c>
      <c r="L34" s="2" t="s">
        <v>32</v>
      </c>
      <c r="M34" s="3">
        <v>243</v>
      </c>
      <c r="N34" s="3">
        <v>7.19</v>
      </c>
      <c r="O34" s="3">
        <v>1.29</v>
      </c>
      <c r="P34" s="3">
        <v>234.52</v>
      </c>
      <c r="Q34" s="3">
        <v>0</v>
      </c>
      <c r="R34" s="2" t="s">
        <v>137</v>
      </c>
      <c r="S34" s="2" t="s">
        <v>45</v>
      </c>
      <c r="T34" s="2">
        <v>7006588</v>
      </c>
      <c r="U34" s="2" t="s">
        <v>36</v>
      </c>
      <c r="V34" s="2" t="s">
        <v>140</v>
      </c>
      <c r="W34" s="2">
        <v>191801</v>
      </c>
      <c r="X34" s="2"/>
      <c r="Y34" s="2"/>
      <c r="Z34">
        <v>604</v>
      </c>
      <c r="AA34" t="s">
        <v>48</v>
      </c>
    </row>
    <row r="35" spans="1:27" x14ac:dyDescent="0.25">
      <c r="A35" s="4" t="str">
        <f t="shared" si="0"/>
        <v>2111-078904</v>
      </c>
      <c r="B35" s="18" t="str">
        <f t="shared" si="1"/>
        <v>SERIE: MPP001LL3- POS QR -  VAUCHER N° 1024888 -  OP: 078904</v>
      </c>
      <c r="C35" s="2" t="s">
        <v>25</v>
      </c>
      <c r="D35" s="2" t="s">
        <v>26</v>
      </c>
      <c r="E35" s="2" t="s">
        <v>43</v>
      </c>
      <c r="F35" s="2" t="s">
        <v>28</v>
      </c>
      <c r="G35" s="2" t="s">
        <v>114</v>
      </c>
      <c r="H35" s="2" t="s">
        <v>141</v>
      </c>
      <c r="I35" s="2" t="s">
        <v>135</v>
      </c>
      <c r="J35" s="2" t="s">
        <v>114</v>
      </c>
      <c r="K35" s="2" t="s">
        <v>136</v>
      </c>
      <c r="L35" s="2" t="s">
        <v>32</v>
      </c>
      <c r="M35" s="3">
        <v>180</v>
      </c>
      <c r="N35" s="3">
        <v>5.33</v>
      </c>
      <c r="O35" s="3">
        <v>0.96</v>
      </c>
      <c r="P35" s="3">
        <v>173.71</v>
      </c>
      <c r="Q35" s="3">
        <v>0</v>
      </c>
      <c r="R35" s="2" t="s">
        <v>137</v>
      </c>
      <c r="S35" s="2" t="s">
        <v>45</v>
      </c>
      <c r="T35" s="2">
        <v>1024888</v>
      </c>
      <c r="U35" s="2" t="s">
        <v>36</v>
      </c>
      <c r="V35" s="2" t="s">
        <v>142</v>
      </c>
      <c r="W35" s="2" t="s">
        <v>143</v>
      </c>
      <c r="X35" s="2"/>
      <c r="Y35" s="2"/>
      <c r="Z35">
        <v>604</v>
      </c>
      <c r="AA35" t="s">
        <v>48</v>
      </c>
    </row>
    <row r="36" spans="1:27" x14ac:dyDescent="0.25">
      <c r="A36" s="4" t="str">
        <f t="shared" si="0"/>
        <v>2111-153658</v>
      </c>
      <c r="B36" s="18" t="str">
        <f t="shared" si="1"/>
        <v>SERIE: MPP001LL3- POS QR -  VAUCHER N° 5008875 -  OP: 153658</v>
      </c>
      <c r="C36" s="2" t="s">
        <v>25</v>
      </c>
      <c r="D36" s="2" t="s">
        <v>26</v>
      </c>
      <c r="E36" s="2" t="s">
        <v>43</v>
      </c>
      <c r="F36" s="2" t="s">
        <v>28</v>
      </c>
      <c r="G36" s="2" t="s">
        <v>114</v>
      </c>
      <c r="H36" s="2" t="s">
        <v>144</v>
      </c>
      <c r="I36" s="2" t="s">
        <v>135</v>
      </c>
      <c r="J36" s="2" t="s">
        <v>114</v>
      </c>
      <c r="K36" s="2" t="s">
        <v>136</v>
      </c>
      <c r="L36" s="2" t="s">
        <v>32</v>
      </c>
      <c r="M36" s="3">
        <v>60</v>
      </c>
      <c r="N36" s="3">
        <v>1.78</v>
      </c>
      <c r="O36" s="3">
        <v>0.32</v>
      </c>
      <c r="P36" s="3">
        <v>57.9</v>
      </c>
      <c r="Q36" s="3">
        <v>0</v>
      </c>
      <c r="R36" s="2" t="s">
        <v>137</v>
      </c>
      <c r="S36" s="2" t="s">
        <v>45</v>
      </c>
      <c r="T36" s="2">
        <v>5008875</v>
      </c>
      <c r="U36" s="2" t="s">
        <v>36</v>
      </c>
      <c r="V36" s="2" t="s">
        <v>145</v>
      </c>
      <c r="W36" s="2">
        <v>153658</v>
      </c>
      <c r="X36" s="2"/>
      <c r="Y36" s="2"/>
      <c r="Z36">
        <v>604</v>
      </c>
      <c r="AA36" t="s">
        <v>48</v>
      </c>
    </row>
    <row r="37" spans="1:27" x14ac:dyDescent="0.25">
      <c r="A37" s="4" t="str">
        <f t="shared" si="0"/>
        <v>2111-512806</v>
      </c>
      <c r="B37" s="18" t="str">
        <f t="shared" si="1"/>
        <v>SERIE: CD8S9119- POS CONTACTLESS CHIP -  VAUCHER N° 0005531 -  OP: 512806</v>
      </c>
      <c r="C37" s="2" t="s">
        <v>25</v>
      </c>
      <c r="D37" s="2" t="s">
        <v>26</v>
      </c>
      <c r="E37" s="2" t="s">
        <v>27</v>
      </c>
      <c r="F37" s="2" t="s">
        <v>28</v>
      </c>
      <c r="G37" s="2" t="s">
        <v>114</v>
      </c>
      <c r="H37" s="2" t="s">
        <v>146</v>
      </c>
      <c r="I37" s="2" t="s">
        <v>114</v>
      </c>
      <c r="J37" s="2" t="s">
        <v>114</v>
      </c>
      <c r="K37" s="2" t="s">
        <v>136</v>
      </c>
      <c r="L37" s="2" t="s">
        <v>32</v>
      </c>
      <c r="M37" s="3">
        <v>280</v>
      </c>
      <c r="N37" s="3">
        <v>8.2899999999999991</v>
      </c>
      <c r="O37" s="3">
        <v>1.5</v>
      </c>
      <c r="P37" s="3">
        <v>270.20999999999998</v>
      </c>
      <c r="Q37" s="3">
        <v>0</v>
      </c>
      <c r="R37" s="2" t="s">
        <v>137</v>
      </c>
      <c r="S37" s="2" t="s">
        <v>34</v>
      </c>
      <c r="T37" s="2" t="s">
        <v>147</v>
      </c>
      <c r="U37" s="2" t="s">
        <v>36</v>
      </c>
      <c r="V37" s="2" t="s">
        <v>148</v>
      </c>
      <c r="W37" s="2">
        <v>512806</v>
      </c>
      <c r="X37" s="2"/>
      <c r="Y37" s="2"/>
      <c r="Z37">
        <v>604</v>
      </c>
      <c r="AA37" t="s">
        <v>39</v>
      </c>
    </row>
    <row r="38" spans="1:27" x14ac:dyDescent="0.25">
      <c r="A38" s="4" t="str">
        <f t="shared" si="0"/>
        <v>2111-304602</v>
      </c>
      <c r="B38" s="18" t="str">
        <f t="shared" si="1"/>
        <v>SERIE: CD8S9119- POS CONTACTLESS CHIP -  VAUCHER N° 0005563 -  OP: 304602</v>
      </c>
      <c r="C38" s="2" t="s">
        <v>25</v>
      </c>
      <c r="D38" s="2" t="s">
        <v>26</v>
      </c>
      <c r="E38" s="2" t="s">
        <v>27</v>
      </c>
      <c r="F38" s="2" t="s">
        <v>28</v>
      </c>
      <c r="G38" s="2" t="s">
        <v>136</v>
      </c>
      <c r="H38" s="2" t="s">
        <v>149</v>
      </c>
      <c r="I38" s="2" t="s">
        <v>136</v>
      </c>
      <c r="J38" s="2" t="s">
        <v>136</v>
      </c>
      <c r="K38" s="2" t="s">
        <v>150</v>
      </c>
      <c r="L38" s="2" t="s">
        <v>32</v>
      </c>
      <c r="M38" s="3">
        <v>142.5</v>
      </c>
      <c r="N38" s="3">
        <v>4.22</v>
      </c>
      <c r="O38" s="3">
        <v>0.76</v>
      </c>
      <c r="P38" s="3">
        <v>137.52000000000001</v>
      </c>
      <c r="Q38" s="3">
        <v>790.98</v>
      </c>
      <c r="R38" s="2" t="s">
        <v>151</v>
      </c>
      <c r="S38" s="2" t="s">
        <v>34</v>
      </c>
      <c r="T38" s="2" t="s">
        <v>152</v>
      </c>
      <c r="U38" s="2" t="s">
        <v>36</v>
      </c>
      <c r="V38" s="2" t="s">
        <v>153</v>
      </c>
      <c r="W38" s="2">
        <v>304602</v>
      </c>
      <c r="X38" s="2"/>
      <c r="Y38" s="2"/>
      <c r="Z38">
        <v>604</v>
      </c>
      <c r="AA38" t="s">
        <v>39</v>
      </c>
    </row>
    <row r="39" spans="1:27" x14ac:dyDescent="0.25">
      <c r="A39" s="4" t="str">
        <f t="shared" si="0"/>
        <v>2111-380783</v>
      </c>
      <c r="B39" s="18" t="str">
        <f t="shared" si="1"/>
        <v>SERIE: CD8S9119- POS CONTACTLESS CHIP -  VAUCHER N° 0005558 -  OP: 380783</v>
      </c>
      <c r="C39" s="2" t="s">
        <v>25</v>
      </c>
      <c r="D39" s="2" t="s">
        <v>26</v>
      </c>
      <c r="E39" s="2" t="s">
        <v>27</v>
      </c>
      <c r="F39" s="2" t="s">
        <v>28</v>
      </c>
      <c r="G39" s="2" t="s">
        <v>136</v>
      </c>
      <c r="H39" s="2" t="s">
        <v>154</v>
      </c>
      <c r="I39" s="2" t="s">
        <v>136</v>
      </c>
      <c r="J39" s="2" t="s">
        <v>136</v>
      </c>
      <c r="K39" s="2" t="s">
        <v>150</v>
      </c>
      <c r="L39" s="2" t="s">
        <v>32</v>
      </c>
      <c r="M39" s="3">
        <v>50</v>
      </c>
      <c r="N39" s="3">
        <v>1.48</v>
      </c>
      <c r="O39" s="3">
        <v>0.27</v>
      </c>
      <c r="P39" s="3">
        <v>48.25</v>
      </c>
      <c r="Q39" s="3">
        <v>0</v>
      </c>
      <c r="R39" s="2" t="s">
        <v>151</v>
      </c>
      <c r="S39" s="2" t="s">
        <v>34</v>
      </c>
      <c r="T39" s="2" t="s">
        <v>155</v>
      </c>
      <c r="U39" s="2" t="s">
        <v>36</v>
      </c>
      <c r="V39" s="2" t="s">
        <v>156</v>
      </c>
      <c r="W39" s="2">
        <v>380783</v>
      </c>
      <c r="X39" s="2"/>
      <c r="Y39" s="2"/>
      <c r="Z39">
        <v>604</v>
      </c>
      <c r="AA39" t="s">
        <v>39</v>
      </c>
    </row>
    <row r="40" spans="1:27" x14ac:dyDescent="0.25">
      <c r="A40" s="4" t="str">
        <f t="shared" si="0"/>
        <v>2111-292661</v>
      </c>
      <c r="B40" s="18" t="str">
        <f t="shared" si="1"/>
        <v>SERIE: CD8S9119- POS CONTACTLESS CHIP -  VAUCHER N° 0005549 -  OP: 292661</v>
      </c>
      <c r="C40" s="2" t="s">
        <v>25</v>
      </c>
      <c r="D40" s="2" t="s">
        <v>26</v>
      </c>
      <c r="E40" s="2" t="s">
        <v>27</v>
      </c>
      <c r="F40" s="2" t="s">
        <v>28</v>
      </c>
      <c r="G40" s="2" t="s">
        <v>136</v>
      </c>
      <c r="H40" s="2" t="s">
        <v>157</v>
      </c>
      <c r="I40" s="2" t="s">
        <v>136</v>
      </c>
      <c r="J40" s="2" t="s">
        <v>136</v>
      </c>
      <c r="K40" s="2" t="s">
        <v>150</v>
      </c>
      <c r="L40" s="2" t="s">
        <v>32</v>
      </c>
      <c r="M40" s="3">
        <v>40</v>
      </c>
      <c r="N40" s="3">
        <v>1.18</v>
      </c>
      <c r="O40" s="3">
        <v>0.21</v>
      </c>
      <c r="P40" s="3">
        <v>38.61</v>
      </c>
      <c r="Q40" s="3">
        <v>0</v>
      </c>
      <c r="R40" s="2" t="s">
        <v>151</v>
      </c>
      <c r="S40" s="2" t="s">
        <v>34</v>
      </c>
      <c r="T40" s="2" t="s">
        <v>158</v>
      </c>
      <c r="U40" s="2" t="s">
        <v>36</v>
      </c>
      <c r="V40" s="2" t="s">
        <v>159</v>
      </c>
      <c r="W40" s="2">
        <v>292661</v>
      </c>
      <c r="X40" s="2"/>
      <c r="Y40" s="2"/>
      <c r="Z40">
        <v>604</v>
      </c>
      <c r="AA40" t="s">
        <v>39</v>
      </c>
    </row>
    <row r="41" spans="1:27" x14ac:dyDescent="0.25">
      <c r="A41" s="4" t="str">
        <f t="shared" si="0"/>
        <v>2111-135045</v>
      </c>
      <c r="B41" s="18" t="str">
        <f t="shared" si="1"/>
        <v>SERIE: MPP001LL3- POS QR -  VAUCHER N° 3002007 -  OP: 135045</v>
      </c>
      <c r="C41" s="2" t="s">
        <v>25</v>
      </c>
      <c r="D41" s="2" t="s">
        <v>26</v>
      </c>
      <c r="E41" s="2" t="s">
        <v>43</v>
      </c>
      <c r="F41" s="2" t="s">
        <v>28</v>
      </c>
      <c r="G41" s="2" t="s">
        <v>136</v>
      </c>
      <c r="H41" s="2" t="s">
        <v>160</v>
      </c>
      <c r="I41" s="2" t="s">
        <v>150</v>
      </c>
      <c r="J41" s="2" t="s">
        <v>136</v>
      </c>
      <c r="K41" s="2" t="s">
        <v>150</v>
      </c>
      <c r="L41" s="2" t="s">
        <v>32</v>
      </c>
      <c r="M41" s="3">
        <v>300</v>
      </c>
      <c r="N41" s="3">
        <v>8.8800000000000008</v>
      </c>
      <c r="O41" s="3">
        <v>1.6</v>
      </c>
      <c r="P41" s="3">
        <v>289.52</v>
      </c>
      <c r="Q41" s="3">
        <v>0</v>
      </c>
      <c r="R41" s="2" t="s">
        <v>151</v>
      </c>
      <c r="S41" s="2" t="s">
        <v>45</v>
      </c>
      <c r="T41" s="2">
        <v>3002007</v>
      </c>
      <c r="U41" s="2" t="s">
        <v>36</v>
      </c>
      <c r="V41" s="2" t="s">
        <v>161</v>
      </c>
      <c r="W41" s="2">
        <v>135045</v>
      </c>
      <c r="X41" s="2"/>
      <c r="Y41" s="2"/>
      <c r="Z41">
        <v>604</v>
      </c>
      <c r="AA41" t="s">
        <v>48</v>
      </c>
    </row>
    <row r="42" spans="1:27" x14ac:dyDescent="0.25">
      <c r="A42" s="4" t="str">
        <f t="shared" si="0"/>
        <v>2111-255438</v>
      </c>
      <c r="B42" s="18" t="str">
        <f t="shared" si="1"/>
        <v>SERIE: MPP001LL3- POS QR -  VAUCHER N° 7041965 -  OP: 255438</v>
      </c>
      <c r="C42" s="2" t="s">
        <v>25</v>
      </c>
      <c r="D42" s="2" t="s">
        <v>26</v>
      </c>
      <c r="E42" s="2" t="s">
        <v>43</v>
      </c>
      <c r="F42" s="2" t="s">
        <v>28</v>
      </c>
      <c r="G42" s="2" t="s">
        <v>136</v>
      </c>
      <c r="H42" s="2" t="s">
        <v>162</v>
      </c>
      <c r="I42" s="2" t="s">
        <v>150</v>
      </c>
      <c r="J42" s="2" t="s">
        <v>136</v>
      </c>
      <c r="K42" s="2" t="s">
        <v>150</v>
      </c>
      <c r="L42" s="2" t="s">
        <v>32</v>
      </c>
      <c r="M42" s="3">
        <v>93</v>
      </c>
      <c r="N42" s="3">
        <v>2.75</v>
      </c>
      <c r="O42" s="3">
        <v>0.5</v>
      </c>
      <c r="P42" s="3">
        <v>89.75</v>
      </c>
      <c r="Q42" s="3">
        <v>0</v>
      </c>
      <c r="R42" s="2" t="s">
        <v>151</v>
      </c>
      <c r="S42" s="2" t="s">
        <v>45</v>
      </c>
      <c r="T42" s="2">
        <v>7041965</v>
      </c>
      <c r="U42" s="2" t="s">
        <v>36</v>
      </c>
      <c r="V42" s="2" t="s">
        <v>163</v>
      </c>
      <c r="W42" s="2">
        <v>255438</v>
      </c>
      <c r="X42" s="2"/>
      <c r="Y42" s="2"/>
      <c r="Z42">
        <v>604</v>
      </c>
      <c r="AA42" t="s">
        <v>48</v>
      </c>
    </row>
    <row r="43" spans="1:27" x14ac:dyDescent="0.25">
      <c r="A43" s="4" t="str">
        <f t="shared" si="0"/>
        <v>2111-185185</v>
      </c>
      <c r="B43" s="18" t="str">
        <f t="shared" si="1"/>
        <v>SERIE: MPP001LL3- POS QR -  VAUCHER N° 4046280 -  OP: 185185</v>
      </c>
      <c r="C43" s="2" t="s">
        <v>25</v>
      </c>
      <c r="D43" s="2" t="s">
        <v>26</v>
      </c>
      <c r="E43" s="2" t="s">
        <v>43</v>
      </c>
      <c r="F43" s="2" t="s">
        <v>28</v>
      </c>
      <c r="G43" s="2" t="s">
        <v>136</v>
      </c>
      <c r="H43" s="2" t="s">
        <v>164</v>
      </c>
      <c r="I43" s="2" t="s">
        <v>150</v>
      </c>
      <c r="J43" s="2" t="s">
        <v>136</v>
      </c>
      <c r="K43" s="2" t="s">
        <v>150</v>
      </c>
      <c r="L43" s="2" t="s">
        <v>32</v>
      </c>
      <c r="M43" s="3">
        <v>70</v>
      </c>
      <c r="N43" s="3">
        <v>2.0699999999999998</v>
      </c>
      <c r="O43" s="3">
        <v>0.37</v>
      </c>
      <c r="P43" s="3">
        <v>67.56</v>
      </c>
      <c r="Q43" s="3">
        <v>0</v>
      </c>
      <c r="R43" s="2" t="s">
        <v>151</v>
      </c>
      <c r="S43" s="2" t="s">
        <v>45</v>
      </c>
      <c r="T43" s="2">
        <v>4046280</v>
      </c>
      <c r="U43" s="2" t="s">
        <v>36</v>
      </c>
      <c r="V43" s="2" t="s">
        <v>165</v>
      </c>
      <c r="W43" s="2">
        <v>185185</v>
      </c>
      <c r="X43" s="2"/>
      <c r="Y43" s="2"/>
      <c r="Z43">
        <v>604</v>
      </c>
      <c r="AA43" t="s">
        <v>48</v>
      </c>
    </row>
    <row r="44" spans="1:27" x14ac:dyDescent="0.25">
      <c r="A44" s="4" t="str">
        <f t="shared" si="0"/>
        <v>2111-074812</v>
      </c>
      <c r="B44" s="18" t="str">
        <f t="shared" si="1"/>
        <v>SERIE: PAYZEN- POS VIRTUAL -  VAUCHER N° 2473607 -  OP: 074812</v>
      </c>
      <c r="C44" s="2" t="s">
        <v>25</v>
      </c>
      <c r="D44" s="2" t="s">
        <v>26</v>
      </c>
      <c r="E44" s="2" t="s">
        <v>66</v>
      </c>
      <c r="F44" s="2" t="s">
        <v>28</v>
      </c>
      <c r="G44" s="2" t="s">
        <v>136</v>
      </c>
      <c r="H44" s="2" t="s">
        <v>166</v>
      </c>
      <c r="I44" s="2" t="s">
        <v>150</v>
      </c>
      <c r="J44" s="2" t="s">
        <v>136</v>
      </c>
      <c r="K44" s="2" t="s">
        <v>150</v>
      </c>
      <c r="L44" s="2" t="s">
        <v>32</v>
      </c>
      <c r="M44" s="3">
        <v>124.1</v>
      </c>
      <c r="N44" s="3">
        <v>3.67</v>
      </c>
      <c r="O44" s="3">
        <v>0.66</v>
      </c>
      <c r="P44" s="3">
        <v>119.77</v>
      </c>
      <c r="Q44" s="3">
        <v>0</v>
      </c>
      <c r="R44" s="2"/>
      <c r="S44" s="2"/>
      <c r="T44" s="2">
        <v>2473607</v>
      </c>
      <c r="U44" s="2" t="s">
        <v>36</v>
      </c>
      <c r="V44" s="2" t="s">
        <v>167</v>
      </c>
      <c r="W44" s="2" t="s">
        <v>168</v>
      </c>
      <c r="X44" s="2"/>
      <c r="Y44" s="2"/>
      <c r="Z44">
        <v>604</v>
      </c>
      <c r="AA44" t="s">
        <v>65</v>
      </c>
    </row>
    <row r="45" spans="1:27" x14ac:dyDescent="0.25">
      <c r="A45" s="4" t="str">
        <f t="shared" si="0"/>
        <v>2111-131887</v>
      </c>
      <c r="B45" s="18" t="str">
        <f t="shared" si="1"/>
        <v>SERIE: CD8S9119- POS CONTACTLESS CHIP -  VAUCHER N° 0005576 -  OP: 131887</v>
      </c>
      <c r="C45" s="2" t="s">
        <v>25</v>
      </c>
      <c r="D45" s="2" t="s">
        <v>26</v>
      </c>
      <c r="E45" s="2" t="s">
        <v>27</v>
      </c>
      <c r="F45" s="2" t="s">
        <v>28</v>
      </c>
      <c r="G45" s="2" t="s">
        <v>150</v>
      </c>
      <c r="H45" s="2" t="s">
        <v>169</v>
      </c>
      <c r="I45" s="2" t="s">
        <v>150</v>
      </c>
      <c r="J45" s="2" t="s">
        <v>150</v>
      </c>
      <c r="K45" s="2" t="s">
        <v>170</v>
      </c>
      <c r="L45" s="2" t="s">
        <v>32</v>
      </c>
      <c r="M45" s="3">
        <v>250</v>
      </c>
      <c r="N45" s="3">
        <v>7.4</v>
      </c>
      <c r="O45" s="3">
        <v>1.33</v>
      </c>
      <c r="P45" s="3">
        <v>241.27</v>
      </c>
      <c r="Q45" s="3">
        <v>610.9</v>
      </c>
      <c r="R45" s="2" t="s">
        <v>171</v>
      </c>
      <c r="S45" s="2" t="s">
        <v>34</v>
      </c>
      <c r="T45" s="2" t="s">
        <v>172</v>
      </c>
      <c r="U45" s="2" t="s">
        <v>36</v>
      </c>
      <c r="V45" s="2" t="s">
        <v>173</v>
      </c>
      <c r="W45" s="2">
        <v>131887</v>
      </c>
      <c r="X45" s="2"/>
      <c r="Y45" s="2"/>
      <c r="Z45">
        <v>604</v>
      </c>
      <c r="AA45" t="s">
        <v>39</v>
      </c>
    </row>
    <row r="46" spans="1:27" x14ac:dyDescent="0.25">
      <c r="A46" s="4" t="str">
        <f t="shared" si="0"/>
        <v>2111-218287</v>
      </c>
      <c r="B46" s="18" t="str">
        <f t="shared" si="1"/>
        <v>SERIE: MPP001LL3- POS QR -  VAUCHER N° 7004236 -  OP: 218287</v>
      </c>
      <c r="C46" s="2" t="s">
        <v>25</v>
      </c>
      <c r="D46" s="2" t="s">
        <v>26</v>
      </c>
      <c r="E46" s="2" t="s">
        <v>43</v>
      </c>
      <c r="F46" s="2" t="s">
        <v>28</v>
      </c>
      <c r="G46" s="2" t="s">
        <v>150</v>
      </c>
      <c r="H46" s="2" t="s">
        <v>174</v>
      </c>
      <c r="I46" s="2" t="s">
        <v>150</v>
      </c>
      <c r="J46" s="2" t="s">
        <v>150</v>
      </c>
      <c r="K46" s="2" t="s">
        <v>170</v>
      </c>
      <c r="L46" s="2" t="s">
        <v>32</v>
      </c>
      <c r="M46" s="3">
        <v>70</v>
      </c>
      <c r="N46" s="3">
        <v>2.0699999999999998</v>
      </c>
      <c r="O46" s="3">
        <v>0.37</v>
      </c>
      <c r="P46" s="3">
        <v>67.56</v>
      </c>
      <c r="Q46" s="3">
        <v>0</v>
      </c>
      <c r="R46" s="2" t="s">
        <v>171</v>
      </c>
      <c r="S46" s="2" t="s">
        <v>45</v>
      </c>
      <c r="T46" s="2">
        <v>7004236</v>
      </c>
      <c r="U46" s="2" t="s">
        <v>36</v>
      </c>
      <c r="V46" s="2" t="s">
        <v>175</v>
      </c>
      <c r="W46" s="2">
        <v>218287</v>
      </c>
      <c r="X46" s="2"/>
      <c r="Y46" s="2"/>
      <c r="Z46">
        <v>604</v>
      </c>
      <c r="AA46" t="s">
        <v>48</v>
      </c>
    </row>
    <row r="47" spans="1:27" x14ac:dyDescent="0.25">
      <c r="A47" s="4" t="str">
        <f t="shared" si="0"/>
        <v>2111-213663</v>
      </c>
      <c r="B47" s="18" t="str">
        <f t="shared" si="1"/>
        <v>SERIE: MPP001LL3- POS QR -  VAUCHER N° 6042691 -  OP: 213663</v>
      </c>
      <c r="C47" s="2" t="s">
        <v>25</v>
      </c>
      <c r="D47" s="2" t="s">
        <v>26</v>
      </c>
      <c r="E47" s="2" t="s">
        <v>43</v>
      </c>
      <c r="F47" s="2" t="s">
        <v>28</v>
      </c>
      <c r="G47" s="2" t="s">
        <v>150</v>
      </c>
      <c r="H47" s="2" t="s">
        <v>176</v>
      </c>
      <c r="I47" s="2" t="s">
        <v>150</v>
      </c>
      <c r="J47" s="2" t="s">
        <v>150</v>
      </c>
      <c r="K47" s="2" t="s">
        <v>170</v>
      </c>
      <c r="L47" s="2" t="s">
        <v>32</v>
      </c>
      <c r="M47" s="3">
        <v>120</v>
      </c>
      <c r="N47" s="3">
        <v>3.55</v>
      </c>
      <c r="O47" s="3">
        <v>0.64</v>
      </c>
      <c r="P47" s="3">
        <v>115.81</v>
      </c>
      <c r="Q47" s="3">
        <v>0</v>
      </c>
      <c r="R47" s="2" t="s">
        <v>171</v>
      </c>
      <c r="S47" s="2" t="s">
        <v>45</v>
      </c>
      <c r="T47" s="2">
        <v>6042691</v>
      </c>
      <c r="U47" s="2" t="s">
        <v>36</v>
      </c>
      <c r="V47" s="2" t="s">
        <v>177</v>
      </c>
      <c r="W47" s="2">
        <v>213663</v>
      </c>
      <c r="X47" s="2"/>
      <c r="Y47" s="2"/>
      <c r="Z47">
        <v>604</v>
      </c>
      <c r="AA47" t="s">
        <v>48</v>
      </c>
    </row>
    <row r="48" spans="1:27" x14ac:dyDescent="0.25">
      <c r="A48" s="4" t="str">
        <f t="shared" si="0"/>
        <v>2111-177944</v>
      </c>
      <c r="B48" s="18" t="str">
        <f t="shared" si="1"/>
        <v>SERIE: PAYZEN- E-COMMERCE -  VAUCHER N° 3774483 -  OP: 177944</v>
      </c>
      <c r="C48" s="2" t="s">
        <v>25</v>
      </c>
      <c r="D48" s="2" t="s">
        <v>26</v>
      </c>
      <c r="E48" s="2" t="s">
        <v>61</v>
      </c>
      <c r="F48" s="2" t="s">
        <v>28</v>
      </c>
      <c r="G48" s="2" t="s">
        <v>150</v>
      </c>
      <c r="H48" s="2" t="s">
        <v>178</v>
      </c>
      <c r="I48" s="2" t="s">
        <v>150</v>
      </c>
      <c r="J48" s="2" t="s">
        <v>150</v>
      </c>
      <c r="K48" s="2" t="s">
        <v>170</v>
      </c>
      <c r="L48" s="2" t="s">
        <v>32</v>
      </c>
      <c r="M48" s="3">
        <v>193</v>
      </c>
      <c r="N48" s="3">
        <v>5.71</v>
      </c>
      <c r="O48" s="3">
        <v>1.03</v>
      </c>
      <c r="P48" s="3">
        <v>186.26</v>
      </c>
      <c r="Q48" s="3">
        <v>0</v>
      </c>
      <c r="R48" s="2"/>
      <c r="S48" s="2"/>
      <c r="T48" s="2">
        <v>3774483</v>
      </c>
      <c r="U48" s="2" t="s">
        <v>63</v>
      </c>
      <c r="V48" s="2" t="s">
        <v>179</v>
      </c>
      <c r="W48" s="2">
        <v>177944</v>
      </c>
      <c r="X48" s="2" t="s">
        <v>180</v>
      </c>
      <c r="Y48" s="2"/>
      <c r="Z48">
        <v>604</v>
      </c>
      <c r="AA48" t="s">
        <v>65</v>
      </c>
    </row>
    <row r="49" spans="1:27" x14ac:dyDescent="0.25">
      <c r="A49" s="4" t="str">
        <f t="shared" si="0"/>
        <v>2111-228715</v>
      </c>
      <c r="B49" s="18" t="str">
        <f t="shared" si="1"/>
        <v>SERIE: MPP001LL3- POS QR -  VAUCHER N° 7023965 -  OP: 228715</v>
      </c>
      <c r="C49" s="2" t="s">
        <v>25</v>
      </c>
      <c r="D49" s="2" t="s">
        <v>26</v>
      </c>
      <c r="E49" s="2" t="s">
        <v>43</v>
      </c>
      <c r="F49" s="2" t="s">
        <v>28</v>
      </c>
      <c r="G49" s="2" t="s">
        <v>170</v>
      </c>
      <c r="H49" s="2" t="s">
        <v>181</v>
      </c>
      <c r="I49" s="2" t="s">
        <v>170</v>
      </c>
      <c r="J49" s="2" t="s">
        <v>170</v>
      </c>
      <c r="K49" s="2" t="s">
        <v>182</v>
      </c>
      <c r="L49" s="2" t="s">
        <v>32</v>
      </c>
      <c r="M49" s="3">
        <v>20</v>
      </c>
      <c r="N49" s="3">
        <v>0.59</v>
      </c>
      <c r="O49" s="3">
        <v>0.11</v>
      </c>
      <c r="P49" s="3">
        <v>19.3</v>
      </c>
      <c r="Q49" s="3">
        <v>843.46</v>
      </c>
      <c r="R49" s="2" t="s">
        <v>183</v>
      </c>
      <c r="S49" s="2" t="s">
        <v>45</v>
      </c>
      <c r="T49" s="2">
        <v>7023965</v>
      </c>
      <c r="U49" s="2" t="s">
        <v>36</v>
      </c>
      <c r="V49" s="2" t="s">
        <v>184</v>
      </c>
      <c r="W49" s="2">
        <v>228715</v>
      </c>
      <c r="X49" s="2"/>
      <c r="Y49" s="2"/>
      <c r="Z49">
        <v>604</v>
      </c>
      <c r="AA49" t="s">
        <v>48</v>
      </c>
    </row>
    <row r="50" spans="1:27" x14ac:dyDescent="0.25">
      <c r="A50" s="4" t="str">
        <f t="shared" si="0"/>
        <v>2111-087426</v>
      </c>
      <c r="B50" s="18" t="str">
        <f t="shared" si="1"/>
        <v>SERIE: MPP001LL3- POS QR -  VAUCHER N° 1022044 -  OP: 087426</v>
      </c>
      <c r="C50" s="2" t="s">
        <v>25</v>
      </c>
      <c r="D50" s="2" t="s">
        <v>26</v>
      </c>
      <c r="E50" s="2" t="s">
        <v>43</v>
      </c>
      <c r="F50" s="2" t="s">
        <v>28</v>
      </c>
      <c r="G50" s="2" t="s">
        <v>170</v>
      </c>
      <c r="H50" s="2" t="s">
        <v>185</v>
      </c>
      <c r="I50" s="2" t="s">
        <v>170</v>
      </c>
      <c r="J50" s="2" t="s">
        <v>170</v>
      </c>
      <c r="K50" s="2" t="s">
        <v>182</v>
      </c>
      <c r="L50" s="2" t="s">
        <v>32</v>
      </c>
      <c r="M50" s="3">
        <v>180</v>
      </c>
      <c r="N50" s="3">
        <v>5.33</v>
      </c>
      <c r="O50" s="3">
        <v>0.96</v>
      </c>
      <c r="P50" s="3">
        <v>173.71</v>
      </c>
      <c r="Q50" s="3">
        <v>0</v>
      </c>
      <c r="R50" s="2" t="s">
        <v>183</v>
      </c>
      <c r="S50" s="2" t="s">
        <v>45</v>
      </c>
      <c r="T50" s="2">
        <v>1022044</v>
      </c>
      <c r="U50" s="2" t="s">
        <v>36</v>
      </c>
      <c r="V50" s="2" t="s">
        <v>186</v>
      </c>
      <c r="W50" s="2" t="s">
        <v>187</v>
      </c>
      <c r="X50" s="2"/>
      <c r="Y50" s="2"/>
      <c r="Z50">
        <v>604</v>
      </c>
      <c r="AA50" t="s">
        <v>48</v>
      </c>
    </row>
    <row r="51" spans="1:27" x14ac:dyDescent="0.25">
      <c r="A51" s="4" t="str">
        <f t="shared" si="0"/>
        <v>2111-215753</v>
      </c>
      <c r="B51" s="18" t="str">
        <f t="shared" si="1"/>
        <v>SERIE: MPP001LL3- POS QR -  VAUCHER N° 6044924 -  OP: 215753</v>
      </c>
      <c r="C51" s="2" t="s">
        <v>25</v>
      </c>
      <c r="D51" s="2" t="s">
        <v>26</v>
      </c>
      <c r="E51" s="2" t="s">
        <v>43</v>
      </c>
      <c r="F51" s="2" t="s">
        <v>28</v>
      </c>
      <c r="G51" s="2" t="s">
        <v>170</v>
      </c>
      <c r="H51" s="2" t="s">
        <v>188</v>
      </c>
      <c r="I51" s="2" t="s">
        <v>170</v>
      </c>
      <c r="J51" s="2" t="s">
        <v>170</v>
      </c>
      <c r="K51" s="2" t="s">
        <v>182</v>
      </c>
      <c r="L51" s="2" t="s">
        <v>32</v>
      </c>
      <c r="M51" s="3">
        <v>125</v>
      </c>
      <c r="N51" s="3">
        <v>3.7</v>
      </c>
      <c r="O51" s="3">
        <v>0.67</v>
      </c>
      <c r="P51" s="3">
        <v>120.63</v>
      </c>
      <c r="Q51" s="3">
        <v>0</v>
      </c>
      <c r="R51" s="2" t="s">
        <v>183</v>
      </c>
      <c r="S51" s="2" t="s">
        <v>45</v>
      </c>
      <c r="T51" s="2">
        <v>6044924</v>
      </c>
      <c r="U51" s="2" t="s">
        <v>36</v>
      </c>
      <c r="V51" s="2" t="s">
        <v>165</v>
      </c>
      <c r="W51" s="2">
        <v>215753</v>
      </c>
      <c r="X51" s="2"/>
      <c r="Y51" s="2"/>
      <c r="Z51">
        <v>604</v>
      </c>
      <c r="AA51" t="s">
        <v>48</v>
      </c>
    </row>
    <row r="52" spans="1:27" x14ac:dyDescent="0.25">
      <c r="A52" s="4" t="str">
        <f t="shared" si="0"/>
        <v>2111-008087</v>
      </c>
      <c r="B52" s="18" t="str">
        <f t="shared" si="1"/>
        <v>SERIE: PAYZEN- POS VIRTUAL -  VAUCHER N° 4684539 -  OP: 008087</v>
      </c>
      <c r="C52" s="2" t="s">
        <v>25</v>
      </c>
      <c r="D52" s="2" t="s">
        <v>26</v>
      </c>
      <c r="E52" s="2" t="s">
        <v>66</v>
      </c>
      <c r="F52" s="2" t="s">
        <v>28</v>
      </c>
      <c r="G52" s="2" t="s">
        <v>170</v>
      </c>
      <c r="H52" s="2" t="s">
        <v>189</v>
      </c>
      <c r="I52" s="2" t="s">
        <v>170</v>
      </c>
      <c r="J52" s="2" t="s">
        <v>170</v>
      </c>
      <c r="K52" s="2" t="s">
        <v>182</v>
      </c>
      <c r="L52" s="2" t="s">
        <v>32</v>
      </c>
      <c r="M52" s="3">
        <v>193</v>
      </c>
      <c r="N52" s="3">
        <v>5.71</v>
      </c>
      <c r="O52" s="3">
        <v>1.03</v>
      </c>
      <c r="P52" s="3">
        <v>186.26</v>
      </c>
      <c r="Q52" s="3">
        <v>0</v>
      </c>
      <c r="R52" s="2"/>
      <c r="S52" s="2"/>
      <c r="T52" s="2">
        <v>4684539</v>
      </c>
      <c r="U52" s="2" t="s">
        <v>36</v>
      </c>
      <c r="V52" s="2" t="s">
        <v>190</v>
      </c>
      <c r="W52" s="2" t="s">
        <v>191</v>
      </c>
      <c r="X52" s="2"/>
      <c r="Y52" s="2"/>
      <c r="Z52">
        <v>604</v>
      </c>
      <c r="AA52" t="s">
        <v>65</v>
      </c>
    </row>
    <row r="53" spans="1:27" x14ac:dyDescent="0.25">
      <c r="A53" s="4" t="str">
        <f t="shared" si="0"/>
        <v>2111-035333</v>
      </c>
      <c r="B53" s="18" t="str">
        <f t="shared" si="1"/>
        <v>SERIE: PAYZEN- POS VIRTUAL -  VAUCHER N° 5457261 -  OP: 035333</v>
      </c>
      <c r="C53" s="2" t="s">
        <v>25</v>
      </c>
      <c r="D53" s="2" t="s">
        <v>26</v>
      </c>
      <c r="E53" s="2" t="s">
        <v>66</v>
      </c>
      <c r="F53" s="2" t="s">
        <v>28</v>
      </c>
      <c r="G53" s="2" t="s">
        <v>170</v>
      </c>
      <c r="H53" s="2" t="s">
        <v>192</v>
      </c>
      <c r="I53" s="2" t="s">
        <v>170</v>
      </c>
      <c r="J53" s="2" t="s">
        <v>170</v>
      </c>
      <c r="K53" s="2" t="s">
        <v>182</v>
      </c>
      <c r="L53" s="2" t="s">
        <v>32</v>
      </c>
      <c r="M53" s="3">
        <v>356</v>
      </c>
      <c r="N53" s="3">
        <v>10.54</v>
      </c>
      <c r="O53" s="3">
        <v>1.9</v>
      </c>
      <c r="P53" s="3">
        <v>343.56</v>
      </c>
      <c r="Q53" s="3">
        <v>0</v>
      </c>
      <c r="R53" s="2"/>
      <c r="S53" s="2"/>
      <c r="T53" s="2">
        <v>5457261</v>
      </c>
      <c r="U53" s="2" t="s">
        <v>36</v>
      </c>
      <c r="V53" s="2" t="s">
        <v>193</v>
      </c>
      <c r="W53" s="2" t="s">
        <v>194</v>
      </c>
      <c r="X53" s="2"/>
      <c r="Y53" s="2"/>
      <c r="Z53">
        <v>604</v>
      </c>
      <c r="AA53" t="s">
        <v>65</v>
      </c>
    </row>
    <row r="54" spans="1:27" x14ac:dyDescent="0.25">
      <c r="A54" s="4" t="str">
        <f t="shared" si="0"/>
        <v>2111-077725</v>
      </c>
      <c r="B54" s="18" t="str">
        <f t="shared" si="1"/>
        <v>SERIE: CD8S9119- POS CONTACTLESS CHIP -  VAUCHER N° 0005636 -  OP: 077725</v>
      </c>
      <c r="C54" s="2" t="s">
        <v>25</v>
      </c>
      <c r="D54" s="2" t="s">
        <v>26</v>
      </c>
      <c r="E54" s="2" t="s">
        <v>27</v>
      </c>
      <c r="F54" s="2" t="s">
        <v>28</v>
      </c>
      <c r="G54" s="2" t="s">
        <v>182</v>
      </c>
      <c r="H54" s="2" t="s">
        <v>195</v>
      </c>
      <c r="I54" s="2" t="s">
        <v>182</v>
      </c>
      <c r="J54" s="2" t="s">
        <v>182</v>
      </c>
      <c r="K54" s="2" t="s">
        <v>196</v>
      </c>
      <c r="L54" s="2" t="s">
        <v>32</v>
      </c>
      <c r="M54" s="3">
        <v>90</v>
      </c>
      <c r="N54" s="3">
        <v>2.66</v>
      </c>
      <c r="O54" s="3">
        <v>0.48</v>
      </c>
      <c r="P54" s="3">
        <v>86.86</v>
      </c>
      <c r="Q54" s="3">
        <v>1450.49</v>
      </c>
      <c r="R54" s="2" t="s">
        <v>197</v>
      </c>
      <c r="S54" s="2" t="s">
        <v>34</v>
      </c>
      <c r="T54" s="2" t="s">
        <v>198</v>
      </c>
      <c r="U54" s="2" t="s">
        <v>36</v>
      </c>
      <c r="V54" s="2" t="s">
        <v>199</v>
      </c>
      <c r="W54" s="2" t="s">
        <v>200</v>
      </c>
      <c r="X54" s="2"/>
      <c r="Y54" s="2"/>
      <c r="Z54">
        <v>604</v>
      </c>
      <c r="AA54" t="s">
        <v>39</v>
      </c>
    </row>
    <row r="55" spans="1:27" x14ac:dyDescent="0.25">
      <c r="A55" s="4" t="str">
        <f t="shared" si="0"/>
        <v>2111-124116</v>
      </c>
      <c r="B55" s="18" t="str">
        <f t="shared" si="1"/>
        <v>SERIE: CD8S9119- POS CONTACTLESS CHIP -  VAUCHER N° 0005631 -  OP: 124116</v>
      </c>
      <c r="C55" s="2" t="s">
        <v>25</v>
      </c>
      <c r="D55" s="2" t="s">
        <v>26</v>
      </c>
      <c r="E55" s="2" t="s">
        <v>27</v>
      </c>
      <c r="F55" s="2" t="s">
        <v>28</v>
      </c>
      <c r="G55" s="2" t="s">
        <v>182</v>
      </c>
      <c r="H55" s="2" t="s">
        <v>201</v>
      </c>
      <c r="I55" s="2" t="s">
        <v>182</v>
      </c>
      <c r="J55" s="2" t="s">
        <v>182</v>
      </c>
      <c r="K55" s="2" t="s">
        <v>196</v>
      </c>
      <c r="L55" s="2" t="s">
        <v>32</v>
      </c>
      <c r="M55" s="3">
        <v>210</v>
      </c>
      <c r="N55" s="3">
        <v>6.22</v>
      </c>
      <c r="O55" s="3">
        <v>1.1200000000000001</v>
      </c>
      <c r="P55" s="3">
        <v>202.66</v>
      </c>
      <c r="Q55" s="3">
        <v>0</v>
      </c>
      <c r="R55" s="2" t="s">
        <v>197</v>
      </c>
      <c r="S55" s="2" t="s">
        <v>34</v>
      </c>
      <c r="T55" s="2" t="s">
        <v>202</v>
      </c>
      <c r="U55" s="2" t="s">
        <v>36</v>
      </c>
      <c r="V55" s="2" t="s">
        <v>156</v>
      </c>
      <c r="W55" s="2">
        <v>124116</v>
      </c>
      <c r="X55" s="2"/>
      <c r="Y55" s="2"/>
      <c r="Z55">
        <v>604</v>
      </c>
      <c r="AA55" t="s">
        <v>39</v>
      </c>
    </row>
    <row r="56" spans="1:27" x14ac:dyDescent="0.25">
      <c r="A56" s="4" t="str">
        <f t="shared" si="0"/>
        <v>2111-122843</v>
      </c>
      <c r="B56" s="18" t="str">
        <f t="shared" si="1"/>
        <v>SERIE: CD8S9119- POS CONTACTLESS CHIP -  VAUCHER N° 0005629 -  OP: 122843</v>
      </c>
      <c r="C56" s="2" t="s">
        <v>25</v>
      </c>
      <c r="D56" s="2" t="s">
        <v>26</v>
      </c>
      <c r="E56" s="2" t="s">
        <v>27</v>
      </c>
      <c r="F56" s="2" t="s">
        <v>28</v>
      </c>
      <c r="G56" s="2" t="s">
        <v>182</v>
      </c>
      <c r="H56" s="2" t="s">
        <v>203</v>
      </c>
      <c r="I56" s="2" t="s">
        <v>182</v>
      </c>
      <c r="J56" s="2" t="s">
        <v>182</v>
      </c>
      <c r="K56" s="2" t="s">
        <v>196</v>
      </c>
      <c r="L56" s="2" t="s">
        <v>32</v>
      </c>
      <c r="M56" s="3">
        <v>270</v>
      </c>
      <c r="N56" s="3">
        <v>7.99</v>
      </c>
      <c r="O56" s="3">
        <v>1.44</v>
      </c>
      <c r="P56" s="3">
        <v>260.57</v>
      </c>
      <c r="Q56" s="3">
        <v>0</v>
      </c>
      <c r="R56" s="2" t="s">
        <v>197</v>
      </c>
      <c r="S56" s="2" t="s">
        <v>34</v>
      </c>
      <c r="T56" s="2" t="s">
        <v>204</v>
      </c>
      <c r="U56" s="2" t="s">
        <v>36</v>
      </c>
      <c r="V56" s="2" t="s">
        <v>205</v>
      </c>
      <c r="W56" s="2">
        <v>122843</v>
      </c>
      <c r="X56" s="2"/>
      <c r="Y56" s="2"/>
      <c r="Z56">
        <v>604</v>
      </c>
      <c r="AA56" t="s">
        <v>39</v>
      </c>
    </row>
    <row r="57" spans="1:27" x14ac:dyDescent="0.25">
      <c r="A57" s="4" t="str">
        <f t="shared" si="0"/>
        <v>2111-060178</v>
      </c>
      <c r="B57" s="18" t="str">
        <f t="shared" si="1"/>
        <v>SERIE: CD8S9119- POS CONTACTLESS CHIP -  VAUCHER N° 0005620 -  OP: 060178</v>
      </c>
      <c r="C57" s="2" t="s">
        <v>25</v>
      </c>
      <c r="D57" s="2" t="s">
        <v>26</v>
      </c>
      <c r="E57" s="2" t="s">
        <v>27</v>
      </c>
      <c r="F57" s="2" t="s">
        <v>28</v>
      </c>
      <c r="G57" s="2" t="s">
        <v>182</v>
      </c>
      <c r="H57" s="2" t="s">
        <v>206</v>
      </c>
      <c r="I57" s="2" t="s">
        <v>182</v>
      </c>
      <c r="J57" s="2" t="s">
        <v>182</v>
      </c>
      <c r="K57" s="2" t="s">
        <v>196</v>
      </c>
      <c r="L57" s="2" t="s">
        <v>32</v>
      </c>
      <c r="M57" s="3">
        <v>120</v>
      </c>
      <c r="N57" s="3">
        <v>3.55</v>
      </c>
      <c r="O57" s="3">
        <v>0.64</v>
      </c>
      <c r="P57" s="3">
        <v>115.81</v>
      </c>
      <c r="Q57" s="3">
        <v>0</v>
      </c>
      <c r="R57" s="2" t="s">
        <v>197</v>
      </c>
      <c r="S57" s="2" t="s">
        <v>34</v>
      </c>
      <c r="T57" s="2" t="s">
        <v>207</v>
      </c>
      <c r="U57" s="2" t="s">
        <v>63</v>
      </c>
      <c r="V57" s="2" t="s">
        <v>208</v>
      </c>
      <c r="W57" s="2" t="s">
        <v>209</v>
      </c>
      <c r="X57" s="2"/>
      <c r="Y57" s="2"/>
      <c r="Z57">
        <v>604</v>
      </c>
      <c r="AA57" t="s">
        <v>39</v>
      </c>
    </row>
    <row r="58" spans="1:27" x14ac:dyDescent="0.25">
      <c r="A58" s="4" t="str">
        <f t="shared" si="0"/>
        <v>2111-250049</v>
      </c>
      <c r="B58" s="18" t="str">
        <f t="shared" si="1"/>
        <v>SERIE: MPP001LL3- POS QR -  VAUCHER N° 8010439 -  OP: 250049</v>
      </c>
      <c r="C58" s="2" t="s">
        <v>25</v>
      </c>
      <c r="D58" s="2" t="s">
        <v>26</v>
      </c>
      <c r="E58" s="2" t="s">
        <v>43</v>
      </c>
      <c r="F58" s="2" t="s">
        <v>28</v>
      </c>
      <c r="G58" s="2" t="s">
        <v>182</v>
      </c>
      <c r="H58" s="2" t="s">
        <v>210</v>
      </c>
      <c r="I58" s="2" t="s">
        <v>182</v>
      </c>
      <c r="J58" s="2" t="s">
        <v>182</v>
      </c>
      <c r="K58" s="2" t="s">
        <v>196</v>
      </c>
      <c r="L58" s="2" t="s">
        <v>32</v>
      </c>
      <c r="M58" s="3">
        <v>130</v>
      </c>
      <c r="N58" s="3">
        <v>3.85</v>
      </c>
      <c r="O58" s="3">
        <v>0.69</v>
      </c>
      <c r="P58" s="3">
        <v>125.46</v>
      </c>
      <c r="Q58" s="3">
        <v>0</v>
      </c>
      <c r="R58" s="2" t="s">
        <v>197</v>
      </c>
      <c r="S58" s="2" t="s">
        <v>45</v>
      </c>
      <c r="T58" s="2">
        <v>8010439</v>
      </c>
      <c r="U58" s="2" t="s">
        <v>36</v>
      </c>
      <c r="V58" s="2" t="s">
        <v>211</v>
      </c>
      <c r="W58" s="2">
        <v>250049</v>
      </c>
      <c r="X58" s="2"/>
      <c r="Y58" s="2"/>
      <c r="Z58">
        <v>604</v>
      </c>
      <c r="AA58" t="s">
        <v>48</v>
      </c>
    </row>
    <row r="59" spans="1:27" x14ac:dyDescent="0.25">
      <c r="A59" s="4" t="str">
        <f t="shared" si="0"/>
        <v>2111-237946</v>
      </c>
      <c r="B59" s="18" t="str">
        <f t="shared" si="1"/>
        <v>SERIE: MPP001LL3- POS QR -  VAUCHER N° 7041113 -  OP: 237946</v>
      </c>
      <c r="C59" s="2" t="s">
        <v>25</v>
      </c>
      <c r="D59" s="2" t="s">
        <v>26</v>
      </c>
      <c r="E59" s="2" t="s">
        <v>43</v>
      </c>
      <c r="F59" s="2" t="s">
        <v>28</v>
      </c>
      <c r="G59" s="2" t="s">
        <v>182</v>
      </c>
      <c r="H59" s="2" t="s">
        <v>212</v>
      </c>
      <c r="I59" s="2" t="s">
        <v>182</v>
      </c>
      <c r="J59" s="2" t="s">
        <v>182</v>
      </c>
      <c r="K59" s="2" t="s">
        <v>196</v>
      </c>
      <c r="L59" s="2" t="s">
        <v>32</v>
      </c>
      <c r="M59" s="3">
        <v>300</v>
      </c>
      <c r="N59" s="3">
        <v>8.8800000000000008</v>
      </c>
      <c r="O59" s="3">
        <v>1.6</v>
      </c>
      <c r="P59" s="3">
        <v>289.52</v>
      </c>
      <c r="Q59" s="3">
        <v>0</v>
      </c>
      <c r="R59" s="2" t="s">
        <v>197</v>
      </c>
      <c r="S59" s="2" t="s">
        <v>45</v>
      </c>
      <c r="T59" s="2">
        <v>7041113</v>
      </c>
      <c r="U59" s="2" t="s">
        <v>36</v>
      </c>
      <c r="V59" s="2" t="s">
        <v>213</v>
      </c>
      <c r="W59" s="2">
        <v>237946</v>
      </c>
      <c r="X59" s="2"/>
      <c r="Y59" s="2"/>
      <c r="Z59">
        <v>604</v>
      </c>
      <c r="AA59" t="s">
        <v>48</v>
      </c>
    </row>
    <row r="60" spans="1:27" x14ac:dyDescent="0.25">
      <c r="A60" s="4" t="str">
        <f t="shared" si="0"/>
        <v>2111-188390</v>
      </c>
      <c r="B60" s="18" t="str">
        <f t="shared" si="1"/>
        <v>SERIE: MPP001LL3- POS QR -  VAUCHER N° 5032423 -  OP: 188390</v>
      </c>
      <c r="C60" s="2" t="s">
        <v>25</v>
      </c>
      <c r="D60" s="2" t="s">
        <v>26</v>
      </c>
      <c r="E60" s="2" t="s">
        <v>43</v>
      </c>
      <c r="F60" s="2" t="s">
        <v>28</v>
      </c>
      <c r="G60" s="2" t="s">
        <v>182</v>
      </c>
      <c r="H60" s="2" t="s">
        <v>214</v>
      </c>
      <c r="I60" s="2" t="s">
        <v>182</v>
      </c>
      <c r="J60" s="2" t="s">
        <v>182</v>
      </c>
      <c r="K60" s="2" t="s">
        <v>196</v>
      </c>
      <c r="L60" s="2" t="s">
        <v>32</v>
      </c>
      <c r="M60" s="3">
        <v>35</v>
      </c>
      <c r="N60" s="3">
        <v>1.04</v>
      </c>
      <c r="O60" s="3">
        <v>0.19</v>
      </c>
      <c r="P60" s="3">
        <v>33.770000000000003</v>
      </c>
      <c r="Q60" s="3">
        <v>0</v>
      </c>
      <c r="R60" s="2" t="s">
        <v>197</v>
      </c>
      <c r="S60" s="2" t="s">
        <v>45</v>
      </c>
      <c r="T60" s="2">
        <v>5032423</v>
      </c>
      <c r="U60" s="2" t="s">
        <v>36</v>
      </c>
      <c r="V60" s="2" t="s">
        <v>215</v>
      </c>
      <c r="W60" s="2">
        <v>188390</v>
      </c>
      <c r="X60" s="2"/>
      <c r="Y60" s="2"/>
      <c r="Z60">
        <v>604</v>
      </c>
      <c r="AA60" t="s">
        <v>48</v>
      </c>
    </row>
    <row r="61" spans="1:27" x14ac:dyDescent="0.25">
      <c r="A61" s="4" t="str">
        <f t="shared" si="0"/>
        <v>2111-159795</v>
      </c>
      <c r="B61" s="18" t="str">
        <f t="shared" si="1"/>
        <v>SERIE: MPP001LL3- POS QR -  VAUCHER N° 4023669 -  OP: 159795</v>
      </c>
      <c r="C61" s="2" t="s">
        <v>25</v>
      </c>
      <c r="D61" s="2" t="s">
        <v>26</v>
      </c>
      <c r="E61" s="2" t="s">
        <v>43</v>
      </c>
      <c r="F61" s="2" t="s">
        <v>28</v>
      </c>
      <c r="G61" s="2" t="s">
        <v>182</v>
      </c>
      <c r="H61" s="2" t="s">
        <v>216</v>
      </c>
      <c r="I61" s="2" t="s">
        <v>182</v>
      </c>
      <c r="J61" s="2" t="s">
        <v>182</v>
      </c>
      <c r="K61" s="2" t="s">
        <v>196</v>
      </c>
      <c r="L61" s="2" t="s">
        <v>32</v>
      </c>
      <c r="M61" s="3">
        <v>35</v>
      </c>
      <c r="N61" s="3">
        <v>1.04</v>
      </c>
      <c r="O61" s="3">
        <v>0.19</v>
      </c>
      <c r="P61" s="3">
        <v>33.770000000000003</v>
      </c>
      <c r="Q61" s="3">
        <v>0</v>
      </c>
      <c r="R61" s="2" t="s">
        <v>197</v>
      </c>
      <c r="S61" s="2" t="s">
        <v>45</v>
      </c>
      <c r="T61" s="2">
        <v>4023669</v>
      </c>
      <c r="U61" s="2" t="s">
        <v>36</v>
      </c>
      <c r="V61" s="2" t="s">
        <v>217</v>
      </c>
      <c r="W61" s="2">
        <v>159795</v>
      </c>
      <c r="X61" s="2"/>
      <c r="Y61" s="2"/>
      <c r="Z61">
        <v>604</v>
      </c>
      <c r="AA61" t="s">
        <v>48</v>
      </c>
    </row>
    <row r="62" spans="1:27" x14ac:dyDescent="0.25">
      <c r="A62" s="4" t="str">
        <f t="shared" si="0"/>
        <v>2111-164940</v>
      </c>
      <c r="B62" s="18" t="str">
        <f t="shared" si="1"/>
        <v>SERIE: MPP001LL3- POS QR -  VAUCHER N° 4034349 -  OP: 164940</v>
      </c>
      <c r="C62" s="2" t="s">
        <v>25</v>
      </c>
      <c r="D62" s="2" t="s">
        <v>26</v>
      </c>
      <c r="E62" s="2" t="s">
        <v>43</v>
      </c>
      <c r="F62" s="2" t="s">
        <v>28</v>
      </c>
      <c r="G62" s="2" t="s">
        <v>182</v>
      </c>
      <c r="H62" s="2" t="s">
        <v>218</v>
      </c>
      <c r="I62" s="2" t="s">
        <v>182</v>
      </c>
      <c r="J62" s="2" t="s">
        <v>182</v>
      </c>
      <c r="K62" s="2" t="s">
        <v>196</v>
      </c>
      <c r="L62" s="2" t="s">
        <v>32</v>
      </c>
      <c r="M62" s="3">
        <v>20</v>
      </c>
      <c r="N62" s="3">
        <v>0.59</v>
      </c>
      <c r="O62" s="3">
        <v>0.11</v>
      </c>
      <c r="P62" s="3">
        <v>19.3</v>
      </c>
      <c r="Q62" s="3">
        <v>0</v>
      </c>
      <c r="R62" s="2" t="s">
        <v>197</v>
      </c>
      <c r="S62" s="2" t="s">
        <v>45</v>
      </c>
      <c r="T62" s="2">
        <v>4034349</v>
      </c>
      <c r="U62" s="2" t="s">
        <v>36</v>
      </c>
      <c r="V62" s="2" t="s">
        <v>46</v>
      </c>
      <c r="W62" s="2">
        <v>164940</v>
      </c>
      <c r="X62" s="2"/>
      <c r="Y62" s="2"/>
      <c r="Z62">
        <v>604</v>
      </c>
      <c r="AA62" t="s">
        <v>48</v>
      </c>
    </row>
    <row r="63" spans="1:27" x14ac:dyDescent="0.25">
      <c r="A63" s="4" t="str">
        <f t="shared" si="0"/>
        <v>2111-099353</v>
      </c>
      <c r="B63" s="18" t="str">
        <f t="shared" si="1"/>
        <v>SERIE: MPP001LL3- POS QR -  VAUCHER N° 2006188 -  OP: 099353</v>
      </c>
      <c r="C63" s="2" t="s">
        <v>25</v>
      </c>
      <c r="D63" s="2" t="s">
        <v>26</v>
      </c>
      <c r="E63" s="2" t="s">
        <v>43</v>
      </c>
      <c r="F63" s="2" t="s">
        <v>28</v>
      </c>
      <c r="G63" s="2" t="s">
        <v>182</v>
      </c>
      <c r="H63" s="2" t="s">
        <v>219</v>
      </c>
      <c r="I63" s="2" t="s">
        <v>182</v>
      </c>
      <c r="J63" s="2" t="s">
        <v>182</v>
      </c>
      <c r="K63" s="2" t="s">
        <v>196</v>
      </c>
      <c r="L63" s="2" t="s">
        <v>32</v>
      </c>
      <c r="M63" s="3">
        <v>120</v>
      </c>
      <c r="N63" s="3">
        <v>3.55</v>
      </c>
      <c r="O63" s="3">
        <v>0.64</v>
      </c>
      <c r="P63" s="3">
        <v>115.81</v>
      </c>
      <c r="Q63" s="3">
        <v>0</v>
      </c>
      <c r="R63" s="2" t="s">
        <v>197</v>
      </c>
      <c r="S63" s="2" t="s">
        <v>45</v>
      </c>
      <c r="T63" s="2">
        <v>2006188</v>
      </c>
      <c r="U63" s="2" t="s">
        <v>36</v>
      </c>
      <c r="V63" s="2" t="s">
        <v>220</v>
      </c>
      <c r="W63" s="2" t="s">
        <v>221</v>
      </c>
      <c r="X63" s="2"/>
      <c r="Y63" s="2"/>
      <c r="Z63">
        <v>604</v>
      </c>
      <c r="AA63" t="s">
        <v>48</v>
      </c>
    </row>
    <row r="64" spans="1:27" x14ac:dyDescent="0.25">
      <c r="A64" s="4" t="str">
        <f t="shared" si="0"/>
        <v>2111-095106</v>
      </c>
      <c r="B64" s="18" t="str">
        <f t="shared" si="1"/>
        <v>SERIE: MPP001LL3- POS QR -  VAUCHER N° 1043230 -  OP: 095106</v>
      </c>
      <c r="C64" s="2" t="s">
        <v>25</v>
      </c>
      <c r="D64" s="2" t="s">
        <v>26</v>
      </c>
      <c r="E64" s="2" t="s">
        <v>43</v>
      </c>
      <c r="F64" s="2" t="s">
        <v>28</v>
      </c>
      <c r="G64" s="2" t="s">
        <v>182</v>
      </c>
      <c r="H64" s="2" t="s">
        <v>222</v>
      </c>
      <c r="I64" s="2" t="s">
        <v>182</v>
      </c>
      <c r="J64" s="2" t="s">
        <v>182</v>
      </c>
      <c r="K64" s="2" t="s">
        <v>196</v>
      </c>
      <c r="L64" s="2" t="s">
        <v>32</v>
      </c>
      <c r="M64" s="3">
        <v>173</v>
      </c>
      <c r="N64" s="3">
        <v>5.12</v>
      </c>
      <c r="O64" s="3">
        <v>0.92</v>
      </c>
      <c r="P64" s="3">
        <v>166.96</v>
      </c>
      <c r="Q64" s="3">
        <v>0</v>
      </c>
      <c r="R64" s="2" t="s">
        <v>197</v>
      </c>
      <c r="S64" s="2" t="s">
        <v>45</v>
      </c>
      <c r="T64" s="2">
        <v>1043230</v>
      </c>
      <c r="U64" s="2" t="s">
        <v>36</v>
      </c>
      <c r="V64" s="2" t="s">
        <v>223</v>
      </c>
      <c r="W64" s="2" t="s">
        <v>224</v>
      </c>
      <c r="X64" s="2"/>
      <c r="Y64" s="2"/>
      <c r="Z64">
        <v>604</v>
      </c>
      <c r="AA64" t="s">
        <v>48</v>
      </c>
    </row>
    <row r="65" spans="1:27" x14ac:dyDescent="0.25">
      <c r="A65" s="4" t="str">
        <f t="shared" si="0"/>
        <v>2111-096482</v>
      </c>
      <c r="B65" s="18" t="str">
        <f t="shared" si="1"/>
        <v>SERIE: CD8S9119- POS CONTACTLESS CHIP -  VAUCHER N° 0005665 -  OP: 096482</v>
      </c>
      <c r="C65" s="2" t="s">
        <v>25</v>
      </c>
      <c r="D65" s="2" t="s">
        <v>26</v>
      </c>
      <c r="E65" s="2" t="s">
        <v>27</v>
      </c>
      <c r="F65" s="2" t="s">
        <v>28</v>
      </c>
      <c r="G65" s="2" t="s">
        <v>196</v>
      </c>
      <c r="H65" s="2" t="s">
        <v>225</v>
      </c>
      <c r="I65" s="2" t="s">
        <v>196</v>
      </c>
      <c r="J65" s="2" t="s">
        <v>196</v>
      </c>
      <c r="K65" s="2" t="s">
        <v>226</v>
      </c>
      <c r="L65" s="2" t="s">
        <v>32</v>
      </c>
      <c r="M65" s="3">
        <v>90</v>
      </c>
      <c r="N65" s="3">
        <v>2.66</v>
      </c>
      <c r="O65" s="3">
        <v>0.48</v>
      </c>
      <c r="P65" s="3">
        <v>86.86</v>
      </c>
      <c r="Q65" s="3">
        <v>759.02</v>
      </c>
      <c r="R65" s="2" t="s">
        <v>227</v>
      </c>
      <c r="S65" s="2" t="s">
        <v>34</v>
      </c>
      <c r="T65" s="2" t="s">
        <v>228</v>
      </c>
      <c r="U65" s="2" t="s">
        <v>36</v>
      </c>
      <c r="V65" s="2" t="s">
        <v>229</v>
      </c>
      <c r="W65" s="2" t="s">
        <v>230</v>
      </c>
      <c r="X65" s="2"/>
      <c r="Y65" s="2"/>
      <c r="Z65">
        <v>604</v>
      </c>
      <c r="AA65" t="s">
        <v>39</v>
      </c>
    </row>
    <row r="66" spans="1:27" x14ac:dyDescent="0.25">
      <c r="A66" s="4" t="str">
        <f t="shared" si="0"/>
        <v>2111-594520</v>
      </c>
      <c r="B66" s="18" t="str">
        <f t="shared" si="1"/>
        <v>SERIE: CD8S9119- POS CONTACTLESS CHIP -  VAUCHER N° 0005663 -  OP: 594520</v>
      </c>
      <c r="C66" s="2" t="s">
        <v>25</v>
      </c>
      <c r="D66" s="2" t="s">
        <v>26</v>
      </c>
      <c r="E66" s="2" t="s">
        <v>27</v>
      </c>
      <c r="F66" s="2" t="s">
        <v>28</v>
      </c>
      <c r="G66" s="2" t="s">
        <v>196</v>
      </c>
      <c r="H66" s="2" t="s">
        <v>231</v>
      </c>
      <c r="I66" s="2" t="s">
        <v>196</v>
      </c>
      <c r="J66" s="2" t="s">
        <v>196</v>
      </c>
      <c r="K66" s="2" t="s">
        <v>226</v>
      </c>
      <c r="L66" s="2" t="s">
        <v>32</v>
      </c>
      <c r="M66" s="3">
        <v>87</v>
      </c>
      <c r="N66" s="3">
        <v>2.58</v>
      </c>
      <c r="O66" s="3">
        <v>0.46</v>
      </c>
      <c r="P66" s="3">
        <v>83.96</v>
      </c>
      <c r="Q66" s="3">
        <v>0</v>
      </c>
      <c r="R66" s="2" t="s">
        <v>227</v>
      </c>
      <c r="S66" s="2" t="s">
        <v>34</v>
      </c>
      <c r="T66" s="2" t="s">
        <v>232</v>
      </c>
      <c r="U66" s="2" t="s">
        <v>36</v>
      </c>
      <c r="V66" s="2" t="s">
        <v>233</v>
      </c>
      <c r="W66" s="2">
        <v>594520</v>
      </c>
      <c r="X66" s="2"/>
      <c r="Y66" s="2"/>
      <c r="Z66">
        <v>604</v>
      </c>
      <c r="AA66" t="s">
        <v>39</v>
      </c>
    </row>
    <row r="67" spans="1:27" x14ac:dyDescent="0.25">
      <c r="A67" s="4" t="str">
        <f t="shared" ref="A67:A130" si="2">CONCATENATE(RIGHT(C67,4),"-",W67)</f>
        <v>2111-138617</v>
      </c>
      <c r="B67" s="18" t="str">
        <f t="shared" ref="B67:B130" si="3">CONCATENATE("SERIE: ",AA67, "- ",E67," - "," VAUCHER N° ",T67,  " -  OP: ",W67)</f>
        <v>SERIE: CD8S9119- POS CONTACTLESS CHIP -  VAUCHER N° 0005654 -  OP: 138617</v>
      </c>
      <c r="C67" s="2" t="s">
        <v>25</v>
      </c>
      <c r="D67" s="2" t="s">
        <v>26</v>
      </c>
      <c r="E67" s="2" t="s">
        <v>27</v>
      </c>
      <c r="F67" s="2" t="s">
        <v>28</v>
      </c>
      <c r="G67" s="2" t="s">
        <v>196</v>
      </c>
      <c r="H67" s="2" t="s">
        <v>234</v>
      </c>
      <c r="I67" s="2" t="s">
        <v>196</v>
      </c>
      <c r="J67" s="2" t="s">
        <v>196</v>
      </c>
      <c r="K67" s="2" t="s">
        <v>226</v>
      </c>
      <c r="L67" s="2" t="s">
        <v>32</v>
      </c>
      <c r="M67" s="3">
        <v>97.5</v>
      </c>
      <c r="N67" s="3">
        <v>2.89</v>
      </c>
      <c r="O67" s="3">
        <v>0.52</v>
      </c>
      <c r="P67" s="3">
        <v>94.09</v>
      </c>
      <c r="Q67" s="3">
        <v>0</v>
      </c>
      <c r="R67" s="2" t="s">
        <v>227</v>
      </c>
      <c r="S67" s="2" t="s">
        <v>34</v>
      </c>
      <c r="T67" s="2" t="s">
        <v>235</v>
      </c>
      <c r="U67" s="2" t="s">
        <v>36</v>
      </c>
      <c r="V67" s="2" t="s">
        <v>233</v>
      </c>
      <c r="W67" s="2">
        <v>138617</v>
      </c>
      <c r="X67" s="2"/>
      <c r="Y67" s="2"/>
      <c r="Z67">
        <v>604</v>
      </c>
      <c r="AA67" t="s">
        <v>39</v>
      </c>
    </row>
    <row r="68" spans="1:27" x14ac:dyDescent="0.25">
      <c r="A68" s="4" t="str">
        <f t="shared" si="2"/>
        <v>2111-629329</v>
      </c>
      <c r="B68" s="18" t="str">
        <f t="shared" si="3"/>
        <v>SERIE: CD8S9119- POS CONTACTLESS CHIP -  VAUCHER N° 0005652 -  OP: 629329</v>
      </c>
      <c r="C68" s="2" t="s">
        <v>25</v>
      </c>
      <c r="D68" s="2" t="s">
        <v>26</v>
      </c>
      <c r="E68" s="2" t="s">
        <v>27</v>
      </c>
      <c r="F68" s="2" t="s">
        <v>28</v>
      </c>
      <c r="G68" s="2" t="s">
        <v>196</v>
      </c>
      <c r="H68" s="2" t="s">
        <v>236</v>
      </c>
      <c r="I68" s="2" t="s">
        <v>196</v>
      </c>
      <c r="J68" s="2" t="s">
        <v>196</v>
      </c>
      <c r="K68" s="2" t="s">
        <v>226</v>
      </c>
      <c r="L68" s="2" t="s">
        <v>32</v>
      </c>
      <c r="M68" s="3">
        <v>35</v>
      </c>
      <c r="N68" s="3">
        <v>1.04</v>
      </c>
      <c r="O68" s="3">
        <v>0.19</v>
      </c>
      <c r="P68" s="3">
        <v>33.770000000000003</v>
      </c>
      <c r="Q68" s="3">
        <v>0</v>
      </c>
      <c r="R68" s="2" t="s">
        <v>227</v>
      </c>
      <c r="S68" s="2" t="s">
        <v>34</v>
      </c>
      <c r="T68" s="2" t="s">
        <v>237</v>
      </c>
      <c r="U68" s="2" t="s">
        <v>36</v>
      </c>
      <c r="V68" s="2" t="s">
        <v>238</v>
      </c>
      <c r="W68" s="2">
        <v>629329</v>
      </c>
      <c r="X68" s="2"/>
      <c r="Y68" s="2"/>
      <c r="Z68">
        <v>604</v>
      </c>
      <c r="AA68" t="s">
        <v>39</v>
      </c>
    </row>
    <row r="69" spans="1:27" x14ac:dyDescent="0.25">
      <c r="A69" s="4" t="str">
        <f t="shared" si="2"/>
        <v>2111-168040</v>
      </c>
      <c r="B69" s="18" t="str">
        <f t="shared" si="3"/>
        <v>SERIE: MPP001LL3- POS QR -  VAUCHER N° 4016714 -  OP: 168040</v>
      </c>
      <c r="C69" s="2" t="s">
        <v>25</v>
      </c>
      <c r="D69" s="2" t="s">
        <v>26</v>
      </c>
      <c r="E69" s="2" t="s">
        <v>43</v>
      </c>
      <c r="F69" s="2" t="s">
        <v>28</v>
      </c>
      <c r="G69" s="2" t="s">
        <v>196</v>
      </c>
      <c r="H69" s="2" t="s">
        <v>239</v>
      </c>
      <c r="I69" s="2" t="s">
        <v>196</v>
      </c>
      <c r="J69" s="2" t="s">
        <v>196</v>
      </c>
      <c r="K69" s="2" t="s">
        <v>226</v>
      </c>
      <c r="L69" s="2" t="s">
        <v>32</v>
      </c>
      <c r="M69" s="3">
        <v>372</v>
      </c>
      <c r="N69" s="3">
        <v>11.01</v>
      </c>
      <c r="O69" s="3">
        <v>1.98</v>
      </c>
      <c r="P69" s="3">
        <v>359.01</v>
      </c>
      <c r="Q69" s="3">
        <v>0</v>
      </c>
      <c r="R69" s="2" t="s">
        <v>227</v>
      </c>
      <c r="S69" s="2" t="s">
        <v>45</v>
      </c>
      <c r="T69" s="2">
        <v>4016714</v>
      </c>
      <c r="U69" s="2" t="s">
        <v>36</v>
      </c>
      <c r="V69" s="2" t="s">
        <v>240</v>
      </c>
      <c r="W69" s="2">
        <v>168040</v>
      </c>
      <c r="X69" s="2"/>
      <c r="Y69" s="2"/>
      <c r="Z69">
        <v>604</v>
      </c>
      <c r="AA69" t="s">
        <v>48</v>
      </c>
    </row>
    <row r="70" spans="1:27" x14ac:dyDescent="0.25">
      <c r="A70" s="4" t="str">
        <f t="shared" si="2"/>
        <v>2111-273278</v>
      </c>
      <c r="B70" s="18" t="str">
        <f t="shared" si="3"/>
        <v>SERIE: MPP001LL3- POS QR -  VAUCHER N° 8019421 -  OP: 273278</v>
      </c>
      <c r="C70" s="2" t="s">
        <v>25</v>
      </c>
      <c r="D70" s="2" t="s">
        <v>26</v>
      </c>
      <c r="E70" s="2" t="s">
        <v>43</v>
      </c>
      <c r="F70" s="2" t="s">
        <v>28</v>
      </c>
      <c r="G70" s="2" t="s">
        <v>196</v>
      </c>
      <c r="H70" s="2" t="s">
        <v>241</v>
      </c>
      <c r="I70" s="2" t="s">
        <v>196</v>
      </c>
      <c r="J70" s="2" t="s">
        <v>196</v>
      </c>
      <c r="K70" s="2" t="s">
        <v>226</v>
      </c>
      <c r="L70" s="2" t="s">
        <v>32</v>
      </c>
      <c r="M70" s="3">
        <v>45</v>
      </c>
      <c r="N70" s="3">
        <v>1.33</v>
      </c>
      <c r="O70" s="3">
        <v>0.24</v>
      </c>
      <c r="P70" s="3">
        <v>43.43</v>
      </c>
      <c r="Q70" s="3">
        <v>0</v>
      </c>
      <c r="R70" s="2" t="s">
        <v>227</v>
      </c>
      <c r="S70" s="2" t="s">
        <v>45</v>
      </c>
      <c r="T70" s="2">
        <v>8019421</v>
      </c>
      <c r="U70" s="2" t="s">
        <v>36</v>
      </c>
      <c r="V70" s="2" t="s">
        <v>242</v>
      </c>
      <c r="W70" s="2">
        <v>273278</v>
      </c>
      <c r="X70" s="2"/>
      <c r="Y70" s="2"/>
      <c r="Z70">
        <v>604</v>
      </c>
      <c r="AA70" t="s">
        <v>48</v>
      </c>
    </row>
    <row r="71" spans="1:27" x14ac:dyDescent="0.25">
      <c r="A71" s="4" t="str">
        <f t="shared" si="2"/>
        <v>2111-115242</v>
      </c>
      <c r="B71" s="18" t="str">
        <f t="shared" si="3"/>
        <v>SERIE: MPP001LL3- POS QR -  VAUCHER N° 2020459 -  OP: 115242</v>
      </c>
      <c r="C71" s="2" t="s">
        <v>25</v>
      </c>
      <c r="D71" s="2" t="s">
        <v>26</v>
      </c>
      <c r="E71" s="2" t="s">
        <v>43</v>
      </c>
      <c r="F71" s="2" t="s">
        <v>28</v>
      </c>
      <c r="G71" s="2" t="s">
        <v>196</v>
      </c>
      <c r="H71" s="2" t="s">
        <v>243</v>
      </c>
      <c r="I71" s="2" t="s">
        <v>196</v>
      </c>
      <c r="J71" s="2" t="s">
        <v>196</v>
      </c>
      <c r="K71" s="2" t="s">
        <v>226</v>
      </c>
      <c r="L71" s="2" t="s">
        <v>32</v>
      </c>
      <c r="M71" s="3">
        <v>60</v>
      </c>
      <c r="N71" s="3">
        <v>1.78</v>
      </c>
      <c r="O71" s="3">
        <v>0.32</v>
      </c>
      <c r="P71" s="3">
        <v>57.9</v>
      </c>
      <c r="Q71" s="3">
        <v>0</v>
      </c>
      <c r="R71" s="2" t="s">
        <v>227</v>
      </c>
      <c r="S71" s="2" t="s">
        <v>45</v>
      </c>
      <c r="T71" s="2">
        <v>2020459</v>
      </c>
      <c r="U71" s="2" t="s">
        <v>36</v>
      </c>
      <c r="V71" s="2" t="s">
        <v>244</v>
      </c>
      <c r="W71" s="2">
        <v>115242</v>
      </c>
      <c r="X71" s="2"/>
      <c r="Y71" s="2"/>
      <c r="Z71">
        <v>604</v>
      </c>
      <c r="AA71" t="s">
        <v>48</v>
      </c>
    </row>
    <row r="72" spans="1:27" x14ac:dyDescent="0.25">
      <c r="A72" s="4" t="str">
        <f t="shared" si="2"/>
        <v>2111-460770</v>
      </c>
      <c r="B72" s="18" t="str">
        <f t="shared" si="3"/>
        <v>SERIE: CD8S9119- POS CONTACTLESS CHIP -  VAUCHER N° 0005695 -  OP: 460770</v>
      </c>
      <c r="C72" s="2" t="s">
        <v>25</v>
      </c>
      <c r="D72" s="2" t="s">
        <v>26</v>
      </c>
      <c r="E72" s="2" t="s">
        <v>27</v>
      </c>
      <c r="F72" s="2" t="s">
        <v>28</v>
      </c>
      <c r="G72" s="2" t="s">
        <v>226</v>
      </c>
      <c r="H72" s="2" t="s">
        <v>245</v>
      </c>
      <c r="I72" s="2" t="s">
        <v>226</v>
      </c>
      <c r="J72" s="2" t="s">
        <v>226</v>
      </c>
      <c r="K72" s="2" t="s">
        <v>246</v>
      </c>
      <c r="L72" s="2" t="s">
        <v>32</v>
      </c>
      <c r="M72" s="3">
        <v>127.5</v>
      </c>
      <c r="N72" s="3">
        <v>3.77</v>
      </c>
      <c r="O72" s="3">
        <v>0.68</v>
      </c>
      <c r="P72" s="3">
        <v>123.05</v>
      </c>
      <c r="Q72" s="3">
        <v>460.83</v>
      </c>
      <c r="R72" s="2" t="s">
        <v>247</v>
      </c>
      <c r="S72" s="2" t="s">
        <v>34</v>
      </c>
      <c r="T72" s="2" t="s">
        <v>248</v>
      </c>
      <c r="U72" s="2" t="s">
        <v>63</v>
      </c>
      <c r="V72" s="2" t="s">
        <v>249</v>
      </c>
      <c r="W72" s="2">
        <v>460770</v>
      </c>
      <c r="X72" s="2" t="s">
        <v>250</v>
      </c>
      <c r="Y72" s="2"/>
      <c r="Z72">
        <v>604</v>
      </c>
      <c r="AA72" t="s">
        <v>39</v>
      </c>
    </row>
    <row r="73" spans="1:27" x14ac:dyDescent="0.25">
      <c r="A73" s="4" t="str">
        <f t="shared" si="2"/>
        <v>2111-153564</v>
      </c>
      <c r="B73" s="18" t="str">
        <f t="shared" si="3"/>
        <v>SERIE: CD8S9119- POS CONTACTLESS CHIP -  VAUCHER N° 0005685 -  OP: 153564</v>
      </c>
      <c r="C73" s="2" t="s">
        <v>25</v>
      </c>
      <c r="D73" s="2" t="s">
        <v>26</v>
      </c>
      <c r="E73" s="2" t="s">
        <v>27</v>
      </c>
      <c r="F73" s="2" t="s">
        <v>28</v>
      </c>
      <c r="G73" s="2" t="s">
        <v>226</v>
      </c>
      <c r="H73" s="2" t="s">
        <v>251</v>
      </c>
      <c r="I73" s="2" t="s">
        <v>226</v>
      </c>
      <c r="J73" s="2" t="s">
        <v>226</v>
      </c>
      <c r="K73" s="2" t="s">
        <v>246</v>
      </c>
      <c r="L73" s="2" t="s">
        <v>32</v>
      </c>
      <c r="M73" s="3">
        <v>100</v>
      </c>
      <c r="N73" s="3">
        <v>2.96</v>
      </c>
      <c r="O73" s="3">
        <v>0.53</v>
      </c>
      <c r="P73" s="3">
        <v>96.51</v>
      </c>
      <c r="Q73" s="3">
        <v>0</v>
      </c>
      <c r="R73" s="2" t="s">
        <v>247</v>
      </c>
      <c r="S73" s="2" t="s">
        <v>34</v>
      </c>
      <c r="T73" s="2" t="s">
        <v>252</v>
      </c>
      <c r="U73" s="2" t="s">
        <v>36</v>
      </c>
      <c r="V73" s="2" t="s">
        <v>253</v>
      </c>
      <c r="W73" s="2">
        <v>153564</v>
      </c>
      <c r="X73" s="2"/>
      <c r="Y73" s="2"/>
      <c r="Z73">
        <v>604</v>
      </c>
      <c r="AA73" t="s">
        <v>39</v>
      </c>
    </row>
    <row r="74" spans="1:27" x14ac:dyDescent="0.25">
      <c r="A74" s="4" t="str">
        <f t="shared" si="2"/>
        <v>2111-257598</v>
      </c>
      <c r="B74" s="18" t="str">
        <f t="shared" si="3"/>
        <v>SERIE: CD8S9119- POS CONTACTLESS CHIP -  VAUCHER N° 0005683 -  OP: 257598</v>
      </c>
      <c r="C74" s="2" t="s">
        <v>25</v>
      </c>
      <c r="D74" s="2" t="s">
        <v>26</v>
      </c>
      <c r="E74" s="2" t="s">
        <v>27</v>
      </c>
      <c r="F74" s="2" t="s">
        <v>28</v>
      </c>
      <c r="G74" s="2" t="s">
        <v>226</v>
      </c>
      <c r="H74" s="2" t="s">
        <v>254</v>
      </c>
      <c r="I74" s="2" t="s">
        <v>226</v>
      </c>
      <c r="J74" s="2" t="s">
        <v>226</v>
      </c>
      <c r="K74" s="2" t="s">
        <v>246</v>
      </c>
      <c r="L74" s="2" t="s">
        <v>32</v>
      </c>
      <c r="M74" s="3">
        <v>100</v>
      </c>
      <c r="N74" s="3">
        <v>2.96</v>
      </c>
      <c r="O74" s="3">
        <v>0.53</v>
      </c>
      <c r="P74" s="3">
        <v>96.51</v>
      </c>
      <c r="Q74" s="3">
        <v>0</v>
      </c>
      <c r="R74" s="2" t="s">
        <v>247</v>
      </c>
      <c r="S74" s="2" t="s">
        <v>34</v>
      </c>
      <c r="T74" s="2" t="s">
        <v>255</v>
      </c>
      <c r="U74" s="2" t="s">
        <v>36</v>
      </c>
      <c r="V74" s="2" t="s">
        <v>256</v>
      </c>
      <c r="W74" s="2">
        <v>257598</v>
      </c>
      <c r="X74" s="2"/>
      <c r="Y74" s="2"/>
      <c r="Z74">
        <v>604</v>
      </c>
      <c r="AA74" t="s">
        <v>39</v>
      </c>
    </row>
    <row r="75" spans="1:27" x14ac:dyDescent="0.25">
      <c r="A75" s="4" t="str">
        <f t="shared" si="2"/>
        <v>2111-112741</v>
      </c>
      <c r="B75" s="18" t="str">
        <f t="shared" si="3"/>
        <v>SERIE: CD8S9119- POS CONTACTLESS CHIP -  VAUCHER N° 0005681 -  OP: 112741</v>
      </c>
      <c r="C75" s="2" t="s">
        <v>25</v>
      </c>
      <c r="D75" s="2" t="s">
        <v>26</v>
      </c>
      <c r="E75" s="2" t="s">
        <v>27</v>
      </c>
      <c r="F75" s="2" t="s">
        <v>28</v>
      </c>
      <c r="G75" s="2" t="s">
        <v>226</v>
      </c>
      <c r="H75" s="2" t="s">
        <v>257</v>
      </c>
      <c r="I75" s="2" t="s">
        <v>226</v>
      </c>
      <c r="J75" s="2" t="s">
        <v>226</v>
      </c>
      <c r="K75" s="2" t="s">
        <v>246</v>
      </c>
      <c r="L75" s="2" t="s">
        <v>32</v>
      </c>
      <c r="M75" s="3">
        <v>70</v>
      </c>
      <c r="N75" s="3">
        <v>2.0699999999999998</v>
      </c>
      <c r="O75" s="3">
        <v>0.37</v>
      </c>
      <c r="P75" s="3">
        <v>67.56</v>
      </c>
      <c r="Q75" s="3">
        <v>0</v>
      </c>
      <c r="R75" s="2" t="s">
        <v>247</v>
      </c>
      <c r="S75" s="2" t="s">
        <v>34</v>
      </c>
      <c r="T75" s="2" t="s">
        <v>258</v>
      </c>
      <c r="U75" s="2" t="s">
        <v>36</v>
      </c>
      <c r="V75" s="2" t="s">
        <v>259</v>
      </c>
      <c r="W75" s="2">
        <v>112741</v>
      </c>
      <c r="X75" s="2"/>
      <c r="Y75" s="2"/>
      <c r="Z75">
        <v>604</v>
      </c>
      <c r="AA75" t="s">
        <v>39</v>
      </c>
    </row>
    <row r="76" spans="1:27" x14ac:dyDescent="0.25">
      <c r="A76" s="4" t="str">
        <f t="shared" si="2"/>
        <v>2111-247330</v>
      </c>
      <c r="B76" s="18" t="str">
        <f t="shared" si="3"/>
        <v>SERIE: MPP001LL3- POS QR -  VAUCHER N° 7017662 -  OP: 247330</v>
      </c>
      <c r="C76" s="2" t="s">
        <v>25</v>
      </c>
      <c r="D76" s="2" t="s">
        <v>26</v>
      </c>
      <c r="E76" s="2" t="s">
        <v>43</v>
      </c>
      <c r="F76" s="2" t="s">
        <v>28</v>
      </c>
      <c r="G76" s="2" t="s">
        <v>226</v>
      </c>
      <c r="H76" s="2" t="s">
        <v>260</v>
      </c>
      <c r="I76" s="2" t="s">
        <v>226</v>
      </c>
      <c r="J76" s="2" t="s">
        <v>226</v>
      </c>
      <c r="K76" s="2" t="s">
        <v>246</v>
      </c>
      <c r="L76" s="2" t="s">
        <v>32</v>
      </c>
      <c r="M76" s="3">
        <v>35</v>
      </c>
      <c r="N76" s="3">
        <v>1.04</v>
      </c>
      <c r="O76" s="3">
        <v>0.19</v>
      </c>
      <c r="P76" s="3">
        <v>33.770000000000003</v>
      </c>
      <c r="Q76" s="3">
        <v>0</v>
      </c>
      <c r="R76" s="2" t="s">
        <v>247</v>
      </c>
      <c r="S76" s="2" t="s">
        <v>45</v>
      </c>
      <c r="T76" s="2">
        <v>7017662</v>
      </c>
      <c r="U76" s="2" t="s">
        <v>36</v>
      </c>
      <c r="V76" s="2" t="s">
        <v>261</v>
      </c>
      <c r="W76" s="2">
        <v>247330</v>
      </c>
      <c r="X76" s="2"/>
      <c r="Y76" s="2"/>
      <c r="Z76">
        <v>604</v>
      </c>
      <c r="AA76" t="s">
        <v>48</v>
      </c>
    </row>
    <row r="77" spans="1:27" x14ac:dyDescent="0.25">
      <c r="A77" s="4" t="str">
        <f t="shared" si="2"/>
        <v>2111-097652</v>
      </c>
      <c r="B77" s="18" t="str">
        <f t="shared" si="3"/>
        <v>SERIE: MPP001LL3- POS QR -  VAUCHER N° 1020604 -  OP: 097652</v>
      </c>
      <c r="C77" s="2" t="s">
        <v>25</v>
      </c>
      <c r="D77" s="2" t="s">
        <v>26</v>
      </c>
      <c r="E77" s="2" t="s">
        <v>43</v>
      </c>
      <c r="F77" s="2" t="s">
        <v>28</v>
      </c>
      <c r="G77" s="2" t="s">
        <v>226</v>
      </c>
      <c r="H77" s="2" t="s">
        <v>262</v>
      </c>
      <c r="I77" s="2" t="s">
        <v>226</v>
      </c>
      <c r="J77" s="2" t="s">
        <v>226</v>
      </c>
      <c r="K77" s="2" t="s">
        <v>246</v>
      </c>
      <c r="L77" s="2" t="s">
        <v>32</v>
      </c>
      <c r="M77" s="3">
        <v>45</v>
      </c>
      <c r="N77" s="3">
        <v>1.33</v>
      </c>
      <c r="O77" s="3">
        <v>0.24</v>
      </c>
      <c r="P77" s="3">
        <v>43.43</v>
      </c>
      <c r="Q77" s="3">
        <v>0</v>
      </c>
      <c r="R77" s="2" t="s">
        <v>247</v>
      </c>
      <c r="S77" s="2" t="s">
        <v>45</v>
      </c>
      <c r="T77" s="2">
        <v>1020604</v>
      </c>
      <c r="U77" s="2" t="s">
        <v>36</v>
      </c>
      <c r="V77" s="2" t="s">
        <v>263</v>
      </c>
      <c r="W77" s="2" t="s">
        <v>264</v>
      </c>
      <c r="X77" s="2"/>
      <c r="Y77" s="2"/>
      <c r="Z77">
        <v>604</v>
      </c>
      <c r="AA77" t="s">
        <v>48</v>
      </c>
    </row>
    <row r="78" spans="1:27" x14ac:dyDescent="0.25">
      <c r="A78" s="4" t="str">
        <f t="shared" si="2"/>
        <v>2111-373846</v>
      </c>
      <c r="B78" s="18" t="str">
        <f t="shared" si="3"/>
        <v>SERIE: CD8S9119- POS CONTACTLESS CHIP -  VAUCHER N° 0005710 -  OP: 373846</v>
      </c>
      <c r="C78" s="2" t="s">
        <v>25</v>
      </c>
      <c r="D78" s="2" t="s">
        <v>26</v>
      </c>
      <c r="E78" s="2" t="s">
        <v>27</v>
      </c>
      <c r="F78" s="2" t="s">
        <v>28</v>
      </c>
      <c r="G78" s="2" t="s">
        <v>246</v>
      </c>
      <c r="H78" s="2" t="s">
        <v>265</v>
      </c>
      <c r="I78" s="2" t="s">
        <v>246</v>
      </c>
      <c r="J78" s="2" t="s">
        <v>246</v>
      </c>
      <c r="K78" s="2" t="s">
        <v>266</v>
      </c>
      <c r="L78" s="2" t="s">
        <v>32</v>
      </c>
      <c r="M78" s="3">
        <v>289.5</v>
      </c>
      <c r="N78" s="3">
        <v>8.57</v>
      </c>
      <c r="O78" s="3">
        <v>1.54</v>
      </c>
      <c r="P78" s="3">
        <v>279.39</v>
      </c>
      <c r="Q78" s="3">
        <v>1056.25</v>
      </c>
      <c r="R78" s="2" t="s">
        <v>267</v>
      </c>
      <c r="S78" s="2" t="s">
        <v>34</v>
      </c>
      <c r="T78" s="2" t="s">
        <v>268</v>
      </c>
      <c r="U78" s="2" t="s">
        <v>63</v>
      </c>
      <c r="V78" s="2" t="s">
        <v>269</v>
      </c>
      <c r="W78" s="2">
        <v>373846</v>
      </c>
      <c r="X78" s="2"/>
      <c r="Y78" s="2"/>
      <c r="Z78">
        <v>604</v>
      </c>
      <c r="AA78" t="s">
        <v>39</v>
      </c>
    </row>
    <row r="79" spans="1:27" x14ac:dyDescent="0.25">
      <c r="A79" s="4" t="str">
        <f t="shared" si="2"/>
        <v>2111-471029</v>
      </c>
      <c r="B79" s="18" t="str">
        <f t="shared" si="3"/>
        <v>SERIE: CD8S9119- POS CONTACTLESS CHIP -  VAUCHER N° 0005705 -  OP: 471029</v>
      </c>
      <c r="C79" s="2" t="s">
        <v>25</v>
      </c>
      <c r="D79" s="2" t="s">
        <v>26</v>
      </c>
      <c r="E79" s="2" t="s">
        <v>27</v>
      </c>
      <c r="F79" s="2" t="s">
        <v>28</v>
      </c>
      <c r="G79" s="2" t="s">
        <v>246</v>
      </c>
      <c r="H79" s="2" t="s">
        <v>270</v>
      </c>
      <c r="I79" s="2" t="s">
        <v>246</v>
      </c>
      <c r="J79" s="2" t="s">
        <v>246</v>
      </c>
      <c r="K79" s="2" t="s">
        <v>266</v>
      </c>
      <c r="L79" s="2" t="s">
        <v>32</v>
      </c>
      <c r="M79" s="3">
        <v>105</v>
      </c>
      <c r="N79" s="3">
        <v>3.11</v>
      </c>
      <c r="O79" s="3">
        <v>0.56000000000000005</v>
      </c>
      <c r="P79" s="3">
        <v>101.33</v>
      </c>
      <c r="Q79" s="3">
        <v>0</v>
      </c>
      <c r="R79" s="2" t="s">
        <v>267</v>
      </c>
      <c r="S79" s="2" t="s">
        <v>34</v>
      </c>
      <c r="T79" s="2" t="s">
        <v>271</v>
      </c>
      <c r="U79" s="2" t="s">
        <v>36</v>
      </c>
      <c r="V79" s="2" t="s">
        <v>272</v>
      </c>
      <c r="W79" s="2">
        <v>471029</v>
      </c>
      <c r="X79" s="2"/>
      <c r="Y79" s="2"/>
      <c r="Z79">
        <v>604</v>
      </c>
      <c r="AA79" t="s">
        <v>39</v>
      </c>
    </row>
    <row r="80" spans="1:27" x14ac:dyDescent="0.25">
      <c r="A80" s="4" t="str">
        <f t="shared" si="2"/>
        <v>2111-550535</v>
      </c>
      <c r="B80" s="18" t="str">
        <f t="shared" si="3"/>
        <v>SERIE: PAYZEN- POS VIRTUAL -  VAUCHER N° 0865050 -  OP: 550535</v>
      </c>
      <c r="C80" s="2" t="s">
        <v>25</v>
      </c>
      <c r="D80" s="2" t="s">
        <v>26</v>
      </c>
      <c r="E80" s="2" t="s">
        <v>66</v>
      </c>
      <c r="F80" s="2" t="s">
        <v>28</v>
      </c>
      <c r="G80" s="2" t="s">
        <v>246</v>
      </c>
      <c r="H80" s="2" t="s">
        <v>273</v>
      </c>
      <c r="I80" s="2" t="s">
        <v>246</v>
      </c>
      <c r="J80" s="2" t="s">
        <v>246</v>
      </c>
      <c r="K80" s="2" t="s">
        <v>266</v>
      </c>
      <c r="L80" s="2" t="s">
        <v>32</v>
      </c>
      <c r="M80" s="3">
        <v>480</v>
      </c>
      <c r="N80" s="3">
        <v>14.21</v>
      </c>
      <c r="O80" s="3">
        <v>2.56</v>
      </c>
      <c r="P80" s="3">
        <v>463.23</v>
      </c>
      <c r="Q80" s="3">
        <v>0</v>
      </c>
      <c r="R80" s="2"/>
      <c r="S80" s="2"/>
      <c r="T80" s="2" t="s">
        <v>274</v>
      </c>
      <c r="U80" s="2" t="s">
        <v>36</v>
      </c>
      <c r="V80" s="2" t="s">
        <v>275</v>
      </c>
      <c r="W80" s="2">
        <v>550535</v>
      </c>
      <c r="X80" s="2"/>
      <c r="Y80" s="2"/>
      <c r="Z80">
        <v>604</v>
      </c>
      <c r="AA80" t="s">
        <v>65</v>
      </c>
    </row>
    <row r="81" spans="1:27" x14ac:dyDescent="0.25">
      <c r="A81" s="4" t="str">
        <f t="shared" si="2"/>
        <v>2111-125037</v>
      </c>
      <c r="B81" s="18" t="str">
        <f t="shared" si="3"/>
        <v>SERIE: MPP001LL3- POS QR -  VAUCHER N° 2050084 -  OP: 125037</v>
      </c>
      <c r="C81" s="2" t="s">
        <v>25</v>
      </c>
      <c r="D81" s="2" t="s">
        <v>26</v>
      </c>
      <c r="E81" s="2" t="s">
        <v>43</v>
      </c>
      <c r="F81" s="2" t="s">
        <v>28</v>
      </c>
      <c r="G81" s="2" t="s">
        <v>246</v>
      </c>
      <c r="H81" s="2" t="s">
        <v>276</v>
      </c>
      <c r="I81" s="2" t="s">
        <v>246</v>
      </c>
      <c r="J81" s="2" t="s">
        <v>246</v>
      </c>
      <c r="K81" s="2" t="s">
        <v>266</v>
      </c>
      <c r="L81" s="2" t="s">
        <v>32</v>
      </c>
      <c r="M81" s="3">
        <v>135</v>
      </c>
      <c r="N81" s="3">
        <v>4</v>
      </c>
      <c r="O81" s="3">
        <v>0.72</v>
      </c>
      <c r="P81" s="3">
        <v>130.28</v>
      </c>
      <c r="Q81" s="3">
        <v>0</v>
      </c>
      <c r="R81" s="2" t="s">
        <v>267</v>
      </c>
      <c r="S81" s="2" t="s">
        <v>45</v>
      </c>
      <c r="T81" s="2">
        <v>2050084</v>
      </c>
      <c r="U81" s="2" t="s">
        <v>36</v>
      </c>
      <c r="V81" s="2" t="s">
        <v>277</v>
      </c>
      <c r="W81" s="2">
        <v>125037</v>
      </c>
      <c r="X81" s="2"/>
      <c r="Y81" s="2"/>
      <c r="Z81">
        <v>604</v>
      </c>
      <c r="AA81" t="s">
        <v>48</v>
      </c>
    </row>
    <row r="82" spans="1:27" x14ac:dyDescent="0.25">
      <c r="A82" s="4" t="str">
        <f t="shared" si="2"/>
        <v>2111-199059</v>
      </c>
      <c r="B82" s="18" t="str">
        <f t="shared" si="3"/>
        <v>SERIE: MPP001LL3- POS QR -  VAUCHER N° 5041284 -  OP: 199059</v>
      </c>
      <c r="C82" s="2" t="s">
        <v>25</v>
      </c>
      <c r="D82" s="2" t="s">
        <v>26</v>
      </c>
      <c r="E82" s="2" t="s">
        <v>43</v>
      </c>
      <c r="F82" s="2" t="s">
        <v>28</v>
      </c>
      <c r="G82" s="2" t="s">
        <v>246</v>
      </c>
      <c r="H82" s="2" t="s">
        <v>278</v>
      </c>
      <c r="I82" s="2" t="s">
        <v>246</v>
      </c>
      <c r="J82" s="2" t="s">
        <v>246</v>
      </c>
      <c r="K82" s="2" t="s">
        <v>266</v>
      </c>
      <c r="L82" s="2" t="s">
        <v>32</v>
      </c>
      <c r="M82" s="3">
        <v>85</v>
      </c>
      <c r="N82" s="3">
        <v>2.52</v>
      </c>
      <c r="O82" s="3">
        <v>0.46</v>
      </c>
      <c r="P82" s="3">
        <v>82.02</v>
      </c>
      <c r="Q82" s="3">
        <v>0</v>
      </c>
      <c r="R82" s="2" t="s">
        <v>267</v>
      </c>
      <c r="S82" s="2" t="s">
        <v>45</v>
      </c>
      <c r="T82" s="2">
        <v>5041284</v>
      </c>
      <c r="U82" s="2" t="s">
        <v>36</v>
      </c>
      <c r="V82" s="2" t="s">
        <v>279</v>
      </c>
      <c r="W82" s="2">
        <v>199059</v>
      </c>
      <c r="X82" s="2"/>
      <c r="Y82" s="2"/>
      <c r="Z82">
        <v>604</v>
      </c>
      <c r="AA82" t="s">
        <v>48</v>
      </c>
    </row>
    <row r="83" spans="1:27" x14ac:dyDescent="0.25">
      <c r="A83" s="4" t="str">
        <f t="shared" si="2"/>
        <v>2111-789146</v>
      </c>
      <c r="B83" s="18" t="str">
        <f t="shared" si="3"/>
        <v>SERIE: CD8S9119- POS CONTACTLESS CHIP -  VAUCHER N° 0005728 -  OP: 789146</v>
      </c>
      <c r="C83" s="2" t="s">
        <v>25</v>
      </c>
      <c r="D83" s="2" t="s">
        <v>26</v>
      </c>
      <c r="E83" s="2" t="s">
        <v>27</v>
      </c>
      <c r="F83" s="2" t="s">
        <v>28</v>
      </c>
      <c r="G83" s="2" t="s">
        <v>266</v>
      </c>
      <c r="H83" s="2" t="s">
        <v>280</v>
      </c>
      <c r="I83" s="2" t="s">
        <v>266</v>
      </c>
      <c r="J83" s="2" t="s">
        <v>266</v>
      </c>
      <c r="K83" s="2" t="s">
        <v>281</v>
      </c>
      <c r="L83" s="2" t="s">
        <v>32</v>
      </c>
      <c r="M83" s="3">
        <v>120</v>
      </c>
      <c r="N83" s="3">
        <v>3.55</v>
      </c>
      <c r="O83" s="3">
        <v>0.64</v>
      </c>
      <c r="P83" s="3">
        <v>115.81</v>
      </c>
      <c r="Q83" s="3">
        <v>318.48</v>
      </c>
      <c r="R83" s="2" t="s">
        <v>282</v>
      </c>
      <c r="S83" s="2" t="s">
        <v>34</v>
      </c>
      <c r="T83" s="2" t="s">
        <v>283</v>
      </c>
      <c r="U83" s="2" t="s">
        <v>36</v>
      </c>
      <c r="V83" s="2" t="s">
        <v>205</v>
      </c>
      <c r="W83" s="2">
        <v>789146</v>
      </c>
      <c r="X83" s="2"/>
      <c r="Y83" s="2"/>
      <c r="Z83">
        <v>604</v>
      </c>
      <c r="AA83" t="s">
        <v>39</v>
      </c>
    </row>
    <row r="84" spans="1:27" x14ac:dyDescent="0.25">
      <c r="A84" s="4" t="str">
        <f t="shared" si="2"/>
        <v>2111-064813</v>
      </c>
      <c r="B84" s="18" t="str">
        <f t="shared" si="3"/>
        <v>SERIE: CD8S9119- POS CONTACTLESS CHIP -  VAUCHER N° 0005726 -  OP: 064813</v>
      </c>
      <c r="C84" s="2" t="s">
        <v>25</v>
      </c>
      <c r="D84" s="2" t="s">
        <v>26</v>
      </c>
      <c r="E84" s="2" t="s">
        <v>27</v>
      </c>
      <c r="F84" s="2" t="s">
        <v>28</v>
      </c>
      <c r="G84" s="2" t="s">
        <v>266</v>
      </c>
      <c r="H84" s="2" t="s">
        <v>284</v>
      </c>
      <c r="I84" s="2" t="s">
        <v>266</v>
      </c>
      <c r="J84" s="2" t="s">
        <v>266</v>
      </c>
      <c r="K84" s="2" t="s">
        <v>281</v>
      </c>
      <c r="L84" s="2" t="s">
        <v>32</v>
      </c>
      <c r="M84" s="3">
        <v>150</v>
      </c>
      <c r="N84" s="3">
        <v>4.4400000000000004</v>
      </c>
      <c r="O84" s="3">
        <v>0.8</v>
      </c>
      <c r="P84" s="3">
        <v>144.76</v>
      </c>
      <c r="Q84" s="3">
        <v>0</v>
      </c>
      <c r="R84" s="2" t="s">
        <v>282</v>
      </c>
      <c r="S84" s="2" t="s">
        <v>34</v>
      </c>
      <c r="T84" s="2" t="s">
        <v>285</v>
      </c>
      <c r="U84" s="2" t="s">
        <v>36</v>
      </c>
      <c r="V84" s="2" t="s">
        <v>286</v>
      </c>
      <c r="W84" s="2" t="s">
        <v>287</v>
      </c>
      <c r="X84" s="2"/>
      <c r="Y84" s="2"/>
      <c r="Z84">
        <v>604</v>
      </c>
      <c r="AA84" t="s">
        <v>39</v>
      </c>
    </row>
    <row r="85" spans="1:27" x14ac:dyDescent="0.25">
      <c r="A85" s="4" t="str">
        <f t="shared" si="2"/>
        <v>2111-246118</v>
      </c>
      <c r="B85" s="18" t="str">
        <f t="shared" si="3"/>
        <v>SERIE: MPP001LL3- POS QR -  VAUCHER N° 7039567 -  OP: 246118</v>
      </c>
      <c r="C85" s="2" t="s">
        <v>25</v>
      </c>
      <c r="D85" s="2" t="s">
        <v>26</v>
      </c>
      <c r="E85" s="2" t="s">
        <v>43</v>
      </c>
      <c r="F85" s="2" t="s">
        <v>28</v>
      </c>
      <c r="G85" s="2" t="s">
        <v>266</v>
      </c>
      <c r="H85" s="2" t="s">
        <v>288</v>
      </c>
      <c r="I85" s="2" t="s">
        <v>266</v>
      </c>
      <c r="J85" s="2" t="s">
        <v>266</v>
      </c>
      <c r="K85" s="2" t="s">
        <v>281</v>
      </c>
      <c r="L85" s="2" t="s">
        <v>32</v>
      </c>
      <c r="M85" s="3">
        <v>40</v>
      </c>
      <c r="N85" s="3">
        <v>1.18</v>
      </c>
      <c r="O85" s="3">
        <v>0.21</v>
      </c>
      <c r="P85" s="3">
        <v>38.61</v>
      </c>
      <c r="Q85" s="3">
        <v>0</v>
      </c>
      <c r="R85" s="2" t="s">
        <v>282</v>
      </c>
      <c r="S85" s="2" t="s">
        <v>45</v>
      </c>
      <c r="T85" s="2">
        <v>7039567</v>
      </c>
      <c r="U85" s="2" t="s">
        <v>36</v>
      </c>
      <c r="V85" s="2" t="s">
        <v>289</v>
      </c>
      <c r="W85" s="2">
        <v>246118</v>
      </c>
      <c r="X85" s="2"/>
      <c r="Y85" s="2"/>
      <c r="Z85">
        <v>604</v>
      </c>
      <c r="AA85" t="s">
        <v>48</v>
      </c>
    </row>
    <row r="86" spans="1:27" x14ac:dyDescent="0.25">
      <c r="A86" s="4" t="str">
        <f t="shared" si="2"/>
        <v>2111-097068</v>
      </c>
      <c r="B86" s="18" t="str">
        <f t="shared" si="3"/>
        <v>SERIE: MPP001LL3- POS QR -  VAUCHER N° 1036486 -  OP: 097068</v>
      </c>
      <c r="C86" s="2" t="s">
        <v>25</v>
      </c>
      <c r="D86" s="2" t="s">
        <v>26</v>
      </c>
      <c r="E86" s="2" t="s">
        <v>43</v>
      </c>
      <c r="F86" s="2" t="s">
        <v>28</v>
      </c>
      <c r="G86" s="2" t="s">
        <v>266</v>
      </c>
      <c r="H86" s="2" t="s">
        <v>290</v>
      </c>
      <c r="I86" s="2" t="s">
        <v>266</v>
      </c>
      <c r="J86" s="2" t="s">
        <v>266</v>
      </c>
      <c r="K86" s="2" t="s">
        <v>281</v>
      </c>
      <c r="L86" s="2" t="s">
        <v>32</v>
      </c>
      <c r="M86" s="3">
        <v>20</v>
      </c>
      <c r="N86" s="3">
        <v>0.59</v>
      </c>
      <c r="O86" s="3">
        <v>0.11</v>
      </c>
      <c r="P86" s="3">
        <v>19.3</v>
      </c>
      <c r="Q86" s="3">
        <v>0</v>
      </c>
      <c r="R86" s="2" t="s">
        <v>282</v>
      </c>
      <c r="S86" s="2" t="s">
        <v>45</v>
      </c>
      <c r="T86" s="2">
        <v>1036486</v>
      </c>
      <c r="U86" s="2" t="s">
        <v>36</v>
      </c>
      <c r="V86" s="2" t="s">
        <v>291</v>
      </c>
      <c r="W86" s="2" t="s">
        <v>292</v>
      </c>
      <c r="X86" s="2"/>
      <c r="Y86" s="2"/>
      <c r="Z86">
        <v>604</v>
      </c>
      <c r="AA86" t="s">
        <v>48</v>
      </c>
    </row>
    <row r="87" spans="1:27" x14ac:dyDescent="0.25">
      <c r="A87" s="4" t="str">
        <f t="shared" si="2"/>
        <v>2111-087395</v>
      </c>
      <c r="B87" s="18" t="str">
        <f t="shared" si="3"/>
        <v>SERIE: CD8S9119- POS CONTACTLESS CHIP -  VAUCHER N° 0005767 -  OP: 087395</v>
      </c>
      <c r="C87" s="2" t="s">
        <v>25</v>
      </c>
      <c r="D87" s="2" t="s">
        <v>26</v>
      </c>
      <c r="E87" s="2" t="s">
        <v>27</v>
      </c>
      <c r="F87" s="2" t="s">
        <v>28</v>
      </c>
      <c r="G87" s="2" t="s">
        <v>281</v>
      </c>
      <c r="H87" s="2" t="s">
        <v>293</v>
      </c>
      <c r="I87" s="2" t="s">
        <v>281</v>
      </c>
      <c r="J87" s="2" t="s">
        <v>281</v>
      </c>
      <c r="K87" s="2" t="s">
        <v>294</v>
      </c>
      <c r="L87" s="2" t="s">
        <v>32</v>
      </c>
      <c r="M87" s="3">
        <v>52.5</v>
      </c>
      <c r="N87" s="3">
        <v>1.55</v>
      </c>
      <c r="O87" s="3">
        <v>0.28000000000000003</v>
      </c>
      <c r="P87" s="3">
        <v>50.67</v>
      </c>
      <c r="Q87" s="3">
        <v>1167.76</v>
      </c>
      <c r="R87" s="2" t="s">
        <v>295</v>
      </c>
      <c r="S87" s="2" t="s">
        <v>34</v>
      </c>
      <c r="T87" s="2" t="s">
        <v>296</v>
      </c>
      <c r="U87" s="2" t="s">
        <v>63</v>
      </c>
      <c r="V87" s="2" t="s">
        <v>297</v>
      </c>
      <c r="W87" s="2" t="s">
        <v>298</v>
      </c>
      <c r="X87" s="2"/>
      <c r="Y87" s="2"/>
      <c r="Z87">
        <v>604</v>
      </c>
      <c r="AA87" t="s">
        <v>39</v>
      </c>
    </row>
    <row r="88" spans="1:27" x14ac:dyDescent="0.25">
      <c r="A88" s="4" t="str">
        <f t="shared" si="2"/>
        <v>2111-884512</v>
      </c>
      <c r="B88" s="18" t="str">
        <f t="shared" si="3"/>
        <v>SERIE: CD8S9119- POS CONTACTLESS CHIP -  VAUCHER N° 0005765 -  OP: 884512</v>
      </c>
      <c r="C88" s="2" t="s">
        <v>25</v>
      </c>
      <c r="D88" s="2" t="s">
        <v>26</v>
      </c>
      <c r="E88" s="2" t="s">
        <v>27</v>
      </c>
      <c r="F88" s="2" t="s">
        <v>28</v>
      </c>
      <c r="G88" s="2" t="s">
        <v>281</v>
      </c>
      <c r="H88" s="2" t="s">
        <v>299</v>
      </c>
      <c r="I88" s="2" t="s">
        <v>281</v>
      </c>
      <c r="J88" s="2" t="s">
        <v>281</v>
      </c>
      <c r="K88" s="2" t="s">
        <v>294</v>
      </c>
      <c r="L88" s="2" t="s">
        <v>32</v>
      </c>
      <c r="M88" s="3">
        <v>52.5</v>
      </c>
      <c r="N88" s="3">
        <v>1.55</v>
      </c>
      <c r="O88" s="3">
        <v>0.28000000000000003</v>
      </c>
      <c r="P88" s="3">
        <v>50.67</v>
      </c>
      <c r="Q88" s="3">
        <v>0</v>
      </c>
      <c r="R88" s="2" t="s">
        <v>295</v>
      </c>
      <c r="S88" s="2" t="s">
        <v>34</v>
      </c>
      <c r="T88" s="2" t="s">
        <v>300</v>
      </c>
      <c r="U88" s="2" t="s">
        <v>36</v>
      </c>
      <c r="V88" s="2" t="s">
        <v>301</v>
      </c>
      <c r="W88" s="2">
        <v>884512</v>
      </c>
      <c r="X88" s="2"/>
      <c r="Y88" s="2"/>
      <c r="Z88">
        <v>604</v>
      </c>
      <c r="AA88" t="s">
        <v>39</v>
      </c>
    </row>
    <row r="89" spans="1:27" x14ac:dyDescent="0.25">
      <c r="A89" s="4" t="str">
        <f t="shared" si="2"/>
        <v>2111-T05983</v>
      </c>
      <c r="B89" s="18" t="str">
        <f t="shared" si="3"/>
        <v>SERIE: PAYZEN- E-COMMERCE -  VAUCHER N° 2291547 -  OP: T05983</v>
      </c>
      <c r="C89" s="2" t="s">
        <v>25</v>
      </c>
      <c r="D89" s="2" t="s">
        <v>26</v>
      </c>
      <c r="E89" s="2" t="s">
        <v>61</v>
      </c>
      <c r="F89" s="2" t="s">
        <v>28</v>
      </c>
      <c r="G89" s="2" t="s">
        <v>281</v>
      </c>
      <c r="H89" s="2" t="s">
        <v>302</v>
      </c>
      <c r="I89" s="2" t="s">
        <v>281</v>
      </c>
      <c r="J89" s="2" t="s">
        <v>281</v>
      </c>
      <c r="K89" s="2" t="s">
        <v>294</v>
      </c>
      <c r="L89" s="2" t="s">
        <v>32</v>
      </c>
      <c r="M89" s="3">
        <v>108</v>
      </c>
      <c r="N89" s="3">
        <v>3.2</v>
      </c>
      <c r="O89" s="3">
        <v>0.57999999999999996</v>
      </c>
      <c r="P89" s="3">
        <v>104.22</v>
      </c>
      <c r="Q89" s="3">
        <v>0</v>
      </c>
      <c r="R89" s="2"/>
      <c r="S89" s="2"/>
      <c r="T89" s="2">
        <v>2291547</v>
      </c>
      <c r="U89" s="2" t="s">
        <v>63</v>
      </c>
      <c r="V89" s="2" t="s">
        <v>303</v>
      </c>
      <c r="W89" s="2" t="s">
        <v>304</v>
      </c>
      <c r="X89" s="2"/>
      <c r="Y89" s="2"/>
      <c r="Z89">
        <v>604</v>
      </c>
      <c r="AA89" t="s">
        <v>65</v>
      </c>
    </row>
    <row r="90" spans="1:27" x14ac:dyDescent="0.25">
      <c r="A90" s="4" t="str">
        <f t="shared" si="2"/>
        <v>2111-533957</v>
      </c>
      <c r="B90" s="18" t="str">
        <f t="shared" si="3"/>
        <v>SERIE: PAYZEN- POS VIRTUAL -  VAUCHER N° 2471498 -  OP: 533957</v>
      </c>
      <c r="C90" s="2" t="s">
        <v>25</v>
      </c>
      <c r="D90" s="2" t="s">
        <v>26</v>
      </c>
      <c r="E90" s="2" t="s">
        <v>66</v>
      </c>
      <c r="F90" s="2" t="s">
        <v>28</v>
      </c>
      <c r="G90" s="2" t="s">
        <v>281</v>
      </c>
      <c r="H90" s="2" t="s">
        <v>305</v>
      </c>
      <c r="I90" s="2" t="s">
        <v>281</v>
      </c>
      <c r="J90" s="2" t="s">
        <v>281</v>
      </c>
      <c r="K90" s="2" t="s">
        <v>294</v>
      </c>
      <c r="L90" s="2" t="s">
        <v>32</v>
      </c>
      <c r="M90" s="3">
        <v>245</v>
      </c>
      <c r="N90" s="3">
        <v>7.25</v>
      </c>
      <c r="O90" s="3">
        <v>1.31</v>
      </c>
      <c r="P90" s="3">
        <v>236.44</v>
      </c>
      <c r="Q90" s="3">
        <v>0</v>
      </c>
      <c r="R90" s="2"/>
      <c r="S90" s="2"/>
      <c r="T90" s="2">
        <v>2471498</v>
      </c>
      <c r="U90" s="2" t="s">
        <v>36</v>
      </c>
      <c r="V90" s="2" t="s">
        <v>306</v>
      </c>
      <c r="W90" s="2">
        <v>533957</v>
      </c>
      <c r="X90" s="2"/>
      <c r="Y90" s="2"/>
      <c r="Z90">
        <v>604</v>
      </c>
      <c r="AA90" t="s">
        <v>65</v>
      </c>
    </row>
    <row r="91" spans="1:27" x14ac:dyDescent="0.25">
      <c r="A91" s="4" t="str">
        <f t="shared" si="2"/>
        <v>2111-190500</v>
      </c>
      <c r="B91" s="18" t="str">
        <f t="shared" si="3"/>
        <v>SERIE: MPP001LL3- POS QR -  VAUCHER N° 5020166 -  OP: 190500</v>
      </c>
      <c r="C91" s="2" t="s">
        <v>25</v>
      </c>
      <c r="D91" s="2" t="s">
        <v>26</v>
      </c>
      <c r="E91" s="2" t="s">
        <v>43</v>
      </c>
      <c r="F91" s="2" t="s">
        <v>28</v>
      </c>
      <c r="G91" s="2" t="s">
        <v>281</v>
      </c>
      <c r="H91" s="2" t="s">
        <v>307</v>
      </c>
      <c r="I91" s="2" t="s">
        <v>281</v>
      </c>
      <c r="J91" s="2" t="s">
        <v>281</v>
      </c>
      <c r="K91" s="2" t="s">
        <v>294</v>
      </c>
      <c r="L91" s="2" t="s">
        <v>32</v>
      </c>
      <c r="M91" s="3">
        <v>40</v>
      </c>
      <c r="N91" s="3">
        <v>1.18</v>
      </c>
      <c r="O91" s="3">
        <v>0.21</v>
      </c>
      <c r="P91" s="3">
        <v>38.61</v>
      </c>
      <c r="Q91" s="3">
        <v>0</v>
      </c>
      <c r="R91" s="2" t="s">
        <v>295</v>
      </c>
      <c r="S91" s="2" t="s">
        <v>45</v>
      </c>
      <c r="T91" s="2">
        <v>5020166</v>
      </c>
      <c r="U91" s="2" t="s">
        <v>36</v>
      </c>
      <c r="V91" s="2" t="s">
        <v>308</v>
      </c>
      <c r="W91" s="2">
        <v>190500</v>
      </c>
      <c r="X91" s="2"/>
      <c r="Y91" s="2"/>
      <c r="Z91">
        <v>604</v>
      </c>
      <c r="AA91" t="s">
        <v>48</v>
      </c>
    </row>
    <row r="92" spans="1:27" x14ac:dyDescent="0.25">
      <c r="A92" s="4" t="str">
        <f t="shared" si="2"/>
        <v>2111-179021</v>
      </c>
      <c r="B92" s="18" t="str">
        <f t="shared" si="3"/>
        <v>SERIE: MPP001LL3- POS QR -  VAUCHER N° 4047877 -  OP: 179021</v>
      </c>
      <c r="C92" s="2" t="s">
        <v>25</v>
      </c>
      <c r="D92" s="2" t="s">
        <v>26</v>
      </c>
      <c r="E92" s="2" t="s">
        <v>43</v>
      </c>
      <c r="F92" s="2" t="s">
        <v>28</v>
      </c>
      <c r="G92" s="2" t="s">
        <v>281</v>
      </c>
      <c r="H92" s="2" t="s">
        <v>309</v>
      </c>
      <c r="I92" s="2" t="s">
        <v>281</v>
      </c>
      <c r="J92" s="2" t="s">
        <v>281</v>
      </c>
      <c r="K92" s="2" t="s">
        <v>294</v>
      </c>
      <c r="L92" s="2" t="s">
        <v>32</v>
      </c>
      <c r="M92" s="3">
        <v>315</v>
      </c>
      <c r="N92" s="3">
        <v>9.32</v>
      </c>
      <c r="O92" s="3">
        <v>1.68</v>
      </c>
      <c r="P92" s="3">
        <v>304</v>
      </c>
      <c r="Q92" s="3">
        <v>0</v>
      </c>
      <c r="R92" s="2" t="s">
        <v>295</v>
      </c>
      <c r="S92" s="2" t="s">
        <v>45</v>
      </c>
      <c r="T92" s="2">
        <v>4047877</v>
      </c>
      <c r="U92" s="2" t="s">
        <v>36</v>
      </c>
      <c r="V92" s="2" t="s">
        <v>310</v>
      </c>
      <c r="W92" s="2">
        <v>179021</v>
      </c>
      <c r="X92" s="2"/>
      <c r="Y92" s="2"/>
      <c r="Z92">
        <v>604</v>
      </c>
      <c r="AA92" t="s">
        <v>48</v>
      </c>
    </row>
    <row r="93" spans="1:27" x14ac:dyDescent="0.25">
      <c r="A93" s="4" t="str">
        <f t="shared" si="2"/>
        <v>2111-104298</v>
      </c>
      <c r="B93" s="18" t="str">
        <f t="shared" si="3"/>
        <v>SERIE: MPP001LL3- POS QR -  VAUCHER N° 2005426 -  OP: 104298</v>
      </c>
      <c r="C93" s="2" t="s">
        <v>25</v>
      </c>
      <c r="D93" s="2" t="s">
        <v>26</v>
      </c>
      <c r="E93" s="2" t="s">
        <v>43</v>
      </c>
      <c r="F93" s="2" t="s">
        <v>28</v>
      </c>
      <c r="G93" s="2" t="s">
        <v>281</v>
      </c>
      <c r="H93" s="2" t="s">
        <v>311</v>
      </c>
      <c r="I93" s="2" t="s">
        <v>281</v>
      </c>
      <c r="J93" s="2" t="s">
        <v>281</v>
      </c>
      <c r="K93" s="2" t="s">
        <v>294</v>
      </c>
      <c r="L93" s="2" t="s">
        <v>32</v>
      </c>
      <c r="M93" s="3">
        <v>120</v>
      </c>
      <c r="N93" s="3">
        <v>3.55</v>
      </c>
      <c r="O93" s="3">
        <v>0.64</v>
      </c>
      <c r="P93" s="3">
        <v>115.81</v>
      </c>
      <c r="Q93" s="3">
        <v>0</v>
      </c>
      <c r="R93" s="2" t="s">
        <v>295</v>
      </c>
      <c r="S93" s="2" t="s">
        <v>45</v>
      </c>
      <c r="T93" s="2">
        <v>2005426</v>
      </c>
      <c r="U93" s="2" t="s">
        <v>36</v>
      </c>
      <c r="V93" s="2" t="s">
        <v>312</v>
      </c>
      <c r="W93" s="2">
        <v>104298</v>
      </c>
      <c r="X93" s="2"/>
      <c r="Y93" s="2"/>
      <c r="Z93">
        <v>604</v>
      </c>
      <c r="AA93" t="s">
        <v>48</v>
      </c>
    </row>
    <row r="94" spans="1:27" x14ac:dyDescent="0.25">
      <c r="A94" s="4" t="str">
        <f t="shared" si="2"/>
        <v>2111-210085</v>
      </c>
      <c r="B94" s="18" t="str">
        <f t="shared" si="3"/>
        <v>SERIE: MPP001LL3- POS QR -  VAUCHER N° 6012660 -  OP: 210085</v>
      </c>
      <c r="C94" s="2" t="s">
        <v>25</v>
      </c>
      <c r="D94" s="2" t="s">
        <v>26</v>
      </c>
      <c r="E94" s="2" t="s">
        <v>43</v>
      </c>
      <c r="F94" s="2" t="s">
        <v>28</v>
      </c>
      <c r="G94" s="2" t="s">
        <v>281</v>
      </c>
      <c r="H94" s="2" t="s">
        <v>313</v>
      </c>
      <c r="I94" s="2" t="s">
        <v>281</v>
      </c>
      <c r="J94" s="2" t="s">
        <v>281</v>
      </c>
      <c r="K94" s="2" t="s">
        <v>294</v>
      </c>
      <c r="L94" s="2" t="s">
        <v>32</v>
      </c>
      <c r="M94" s="3">
        <v>65</v>
      </c>
      <c r="N94" s="3">
        <v>1.92</v>
      </c>
      <c r="O94" s="3">
        <v>0.35</v>
      </c>
      <c r="P94" s="3">
        <v>62.73</v>
      </c>
      <c r="Q94" s="3">
        <v>0</v>
      </c>
      <c r="R94" s="2" t="s">
        <v>295</v>
      </c>
      <c r="S94" s="2" t="s">
        <v>45</v>
      </c>
      <c r="T94" s="2">
        <v>6012660</v>
      </c>
      <c r="U94" s="2" t="s">
        <v>36</v>
      </c>
      <c r="V94" s="2" t="s">
        <v>80</v>
      </c>
      <c r="W94" s="2">
        <v>210085</v>
      </c>
      <c r="X94" s="2"/>
      <c r="Y94" s="2"/>
      <c r="Z94">
        <v>604</v>
      </c>
      <c r="AA94" t="s">
        <v>48</v>
      </c>
    </row>
    <row r="95" spans="1:27" x14ac:dyDescent="0.25">
      <c r="A95" s="4" t="str">
        <f t="shared" si="2"/>
        <v>2111-105869</v>
      </c>
      <c r="B95" s="18" t="str">
        <f t="shared" si="3"/>
        <v>SERIE: MPP001LL3- POS QR -  VAUCHER N° 2008685 -  OP: 105869</v>
      </c>
      <c r="C95" s="2" t="s">
        <v>25</v>
      </c>
      <c r="D95" s="2" t="s">
        <v>26</v>
      </c>
      <c r="E95" s="2" t="s">
        <v>43</v>
      </c>
      <c r="F95" s="2" t="s">
        <v>28</v>
      </c>
      <c r="G95" s="2" t="s">
        <v>281</v>
      </c>
      <c r="H95" s="2" t="s">
        <v>314</v>
      </c>
      <c r="I95" s="2" t="s">
        <v>281</v>
      </c>
      <c r="J95" s="2" t="s">
        <v>281</v>
      </c>
      <c r="K95" s="2" t="s">
        <v>294</v>
      </c>
      <c r="L95" s="2" t="s">
        <v>32</v>
      </c>
      <c r="M95" s="3">
        <v>87</v>
      </c>
      <c r="N95" s="3">
        <v>2.58</v>
      </c>
      <c r="O95" s="3">
        <v>0.46</v>
      </c>
      <c r="P95" s="3">
        <v>83.96</v>
      </c>
      <c r="Q95" s="3">
        <v>0</v>
      </c>
      <c r="R95" s="2" t="s">
        <v>295</v>
      </c>
      <c r="S95" s="2" t="s">
        <v>45</v>
      </c>
      <c r="T95" s="2">
        <v>2008685</v>
      </c>
      <c r="U95" s="2" t="s">
        <v>36</v>
      </c>
      <c r="V95" s="2" t="s">
        <v>315</v>
      </c>
      <c r="W95" s="2">
        <v>105869</v>
      </c>
      <c r="X95" s="2"/>
      <c r="Y95" s="2"/>
      <c r="Z95">
        <v>604</v>
      </c>
      <c r="AA95" t="s">
        <v>48</v>
      </c>
    </row>
    <row r="96" spans="1:27" x14ac:dyDescent="0.25">
      <c r="A96" s="4" t="str">
        <f t="shared" si="2"/>
        <v>2111-246376</v>
      </c>
      <c r="B96" s="18" t="str">
        <f t="shared" si="3"/>
        <v>SERIE: MPP001LL3- POS QR -  VAUCHER N° 7036790 -  OP: 246376</v>
      </c>
      <c r="C96" s="2" t="s">
        <v>25</v>
      </c>
      <c r="D96" s="2" t="s">
        <v>26</v>
      </c>
      <c r="E96" s="2" t="s">
        <v>43</v>
      </c>
      <c r="F96" s="2" t="s">
        <v>28</v>
      </c>
      <c r="G96" s="2" t="s">
        <v>281</v>
      </c>
      <c r="H96" s="2" t="s">
        <v>316</v>
      </c>
      <c r="I96" s="2" t="s">
        <v>281</v>
      </c>
      <c r="J96" s="2" t="s">
        <v>281</v>
      </c>
      <c r="K96" s="2" t="s">
        <v>294</v>
      </c>
      <c r="L96" s="2" t="s">
        <v>32</v>
      </c>
      <c r="M96" s="3">
        <v>40</v>
      </c>
      <c r="N96" s="3">
        <v>1.18</v>
      </c>
      <c r="O96" s="3">
        <v>0.21</v>
      </c>
      <c r="P96" s="3">
        <v>38.61</v>
      </c>
      <c r="Q96" s="3">
        <v>0</v>
      </c>
      <c r="R96" s="2" t="s">
        <v>295</v>
      </c>
      <c r="S96" s="2" t="s">
        <v>45</v>
      </c>
      <c r="T96" s="2">
        <v>7036790</v>
      </c>
      <c r="U96" s="2" t="s">
        <v>36</v>
      </c>
      <c r="V96" s="2" t="s">
        <v>317</v>
      </c>
      <c r="W96" s="2">
        <v>246376</v>
      </c>
      <c r="X96" s="2"/>
      <c r="Y96" s="2"/>
      <c r="Z96">
        <v>604</v>
      </c>
      <c r="AA96" t="s">
        <v>48</v>
      </c>
    </row>
    <row r="97" spans="1:27" x14ac:dyDescent="0.25">
      <c r="A97" s="4" t="str">
        <f t="shared" si="2"/>
        <v>2111-121494</v>
      </c>
      <c r="B97" s="18" t="str">
        <f t="shared" si="3"/>
        <v>SERIE: MPP001LL3- POS QR -  VAUCHER N° 2040688 -  OP: 121494</v>
      </c>
      <c r="C97" s="2" t="s">
        <v>25</v>
      </c>
      <c r="D97" s="2" t="s">
        <v>26</v>
      </c>
      <c r="E97" s="2" t="s">
        <v>43</v>
      </c>
      <c r="F97" s="2" t="s">
        <v>28</v>
      </c>
      <c r="G97" s="2" t="s">
        <v>281</v>
      </c>
      <c r="H97" s="2" t="s">
        <v>318</v>
      </c>
      <c r="I97" s="2" t="s">
        <v>281</v>
      </c>
      <c r="J97" s="2" t="s">
        <v>281</v>
      </c>
      <c r="K97" s="2" t="s">
        <v>294</v>
      </c>
      <c r="L97" s="2" t="s">
        <v>32</v>
      </c>
      <c r="M97" s="3">
        <v>40</v>
      </c>
      <c r="N97" s="3">
        <v>1.18</v>
      </c>
      <c r="O97" s="3">
        <v>0.21</v>
      </c>
      <c r="P97" s="3">
        <v>38.61</v>
      </c>
      <c r="Q97" s="3">
        <v>0</v>
      </c>
      <c r="R97" s="2" t="s">
        <v>295</v>
      </c>
      <c r="S97" s="2" t="s">
        <v>45</v>
      </c>
      <c r="T97" s="2">
        <v>2040688</v>
      </c>
      <c r="U97" s="2" t="s">
        <v>36</v>
      </c>
      <c r="V97" s="2" t="s">
        <v>319</v>
      </c>
      <c r="W97" s="2">
        <v>121494</v>
      </c>
      <c r="X97" s="2"/>
      <c r="Y97" s="2"/>
      <c r="Z97">
        <v>604</v>
      </c>
      <c r="AA97" t="s">
        <v>48</v>
      </c>
    </row>
    <row r="98" spans="1:27" x14ac:dyDescent="0.25">
      <c r="A98" s="4" t="str">
        <f t="shared" si="2"/>
        <v>2111-111272</v>
      </c>
      <c r="B98" s="18" t="str">
        <f t="shared" si="3"/>
        <v>SERIE: MPP001LL3- POS QR -  VAUCHER N° 2019724 -  OP: 111272</v>
      </c>
      <c r="C98" s="2" t="s">
        <v>25</v>
      </c>
      <c r="D98" s="2" t="s">
        <v>26</v>
      </c>
      <c r="E98" s="2" t="s">
        <v>43</v>
      </c>
      <c r="F98" s="2" t="s">
        <v>28</v>
      </c>
      <c r="G98" s="2" t="s">
        <v>281</v>
      </c>
      <c r="H98" s="2" t="s">
        <v>320</v>
      </c>
      <c r="I98" s="2" t="s">
        <v>281</v>
      </c>
      <c r="J98" s="2" t="s">
        <v>281</v>
      </c>
      <c r="K98" s="2" t="s">
        <v>294</v>
      </c>
      <c r="L98" s="2" t="s">
        <v>32</v>
      </c>
      <c r="M98" s="3">
        <v>45</v>
      </c>
      <c r="N98" s="3">
        <v>1.33</v>
      </c>
      <c r="O98" s="3">
        <v>0.24</v>
      </c>
      <c r="P98" s="3">
        <v>43.43</v>
      </c>
      <c r="Q98" s="3">
        <v>0</v>
      </c>
      <c r="R98" s="2" t="s">
        <v>295</v>
      </c>
      <c r="S98" s="2" t="s">
        <v>45</v>
      </c>
      <c r="T98" s="2">
        <v>2019724</v>
      </c>
      <c r="U98" s="2" t="s">
        <v>36</v>
      </c>
      <c r="V98" s="2" t="s">
        <v>321</v>
      </c>
      <c r="W98" s="2">
        <v>111272</v>
      </c>
      <c r="X98" s="2"/>
      <c r="Y98" s="2"/>
      <c r="Z98">
        <v>604</v>
      </c>
      <c r="AA98" t="s">
        <v>48</v>
      </c>
    </row>
    <row r="99" spans="1:27" x14ac:dyDescent="0.25">
      <c r="A99" s="4" t="str">
        <f t="shared" si="2"/>
        <v>2111-010402</v>
      </c>
      <c r="B99" s="18" t="str">
        <f t="shared" si="3"/>
        <v>SERIE: CD8S9119- POS CONTACTLESS CHIP -  VAUCHER N° 0005786 -  OP: 010402</v>
      </c>
      <c r="C99" s="2" t="s">
        <v>25</v>
      </c>
      <c r="D99" s="2" t="s">
        <v>26</v>
      </c>
      <c r="E99" s="2" t="s">
        <v>27</v>
      </c>
      <c r="F99" s="2" t="s">
        <v>28</v>
      </c>
      <c r="G99" s="2" t="s">
        <v>294</v>
      </c>
      <c r="H99" s="2" t="s">
        <v>322</v>
      </c>
      <c r="I99" s="2" t="s">
        <v>294</v>
      </c>
      <c r="J99" s="2" t="s">
        <v>294</v>
      </c>
      <c r="K99" s="2" t="s">
        <v>323</v>
      </c>
      <c r="L99" s="2" t="s">
        <v>32</v>
      </c>
      <c r="M99" s="3">
        <v>140</v>
      </c>
      <c r="N99" s="3">
        <v>4.1399999999999997</v>
      </c>
      <c r="O99" s="3">
        <v>0.75</v>
      </c>
      <c r="P99" s="3">
        <v>135.11000000000001</v>
      </c>
      <c r="Q99" s="3">
        <v>453.59</v>
      </c>
      <c r="R99" s="2" t="s">
        <v>324</v>
      </c>
      <c r="S99" s="2" t="s">
        <v>34</v>
      </c>
      <c r="T99" s="2" t="s">
        <v>325</v>
      </c>
      <c r="U99" s="2" t="s">
        <v>36</v>
      </c>
      <c r="V99" s="2" t="s">
        <v>326</v>
      </c>
      <c r="W99" s="2" t="s">
        <v>327</v>
      </c>
      <c r="X99" s="2"/>
      <c r="Y99" s="2"/>
      <c r="Z99">
        <v>604</v>
      </c>
      <c r="AA99" t="s">
        <v>39</v>
      </c>
    </row>
    <row r="100" spans="1:27" x14ac:dyDescent="0.25">
      <c r="A100" s="4" t="str">
        <f t="shared" si="2"/>
        <v>2111-188528</v>
      </c>
      <c r="B100" s="18" t="str">
        <f t="shared" si="3"/>
        <v>SERIE: MPP001LL3- POS QR -  VAUCHER N° 5004290 -  OP: 188528</v>
      </c>
      <c r="C100" s="2" t="s">
        <v>25</v>
      </c>
      <c r="D100" s="2" t="s">
        <v>26</v>
      </c>
      <c r="E100" s="2" t="s">
        <v>43</v>
      </c>
      <c r="F100" s="2" t="s">
        <v>28</v>
      </c>
      <c r="G100" s="2" t="s">
        <v>294</v>
      </c>
      <c r="H100" s="2" t="s">
        <v>328</v>
      </c>
      <c r="I100" s="2" t="s">
        <v>294</v>
      </c>
      <c r="J100" s="2" t="s">
        <v>294</v>
      </c>
      <c r="K100" s="2" t="s">
        <v>323</v>
      </c>
      <c r="L100" s="2" t="s">
        <v>32</v>
      </c>
      <c r="M100" s="3">
        <v>70</v>
      </c>
      <c r="N100" s="3">
        <v>2.0699999999999998</v>
      </c>
      <c r="O100" s="3">
        <v>0.37</v>
      </c>
      <c r="P100" s="3">
        <v>67.56</v>
      </c>
      <c r="Q100" s="3">
        <v>0</v>
      </c>
      <c r="R100" s="2" t="s">
        <v>324</v>
      </c>
      <c r="S100" s="2" t="s">
        <v>45</v>
      </c>
      <c r="T100" s="2">
        <v>5004290</v>
      </c>
      <c r="U100" s="2" t="s">
        <v>36</v>
      </c>
      <c r="V100" s="2" t="s">
        <v>80</v>
      </c>
      <c r="W100" s="2">
        <v>188528</v>
      </c>
      <c r="X100" s="2"/>
      <c r="Y100" s="2"/>
      <c r="Z100">
        <v>604</v>
      </c>
      <c r="AA100" t="s">
        <v>48</v>
      </c>
    </row>
    <row r="101" spans="1:27" x14ac:dyDescent="0.25">
      <c r="A101" s="4" t="str">
        <f t="shared" si="2"/>
        <v>2111-255129</v>
      </c>
      <c r="B101" s="18" t="str">
        <f t="shared" si="3"/>
        <v>SERIE: MPP001LL3- POS QR -  VAUCHER N° 7040044 -  OP: 255129</v>
      </c>
      <c r="C101" s="2" t="s">
        <v>25</v>
      </c>
      <c r="D101" s="2" t="s">
        <v>26</v>
      </c>
      <c r="E101" s="2" t="s">
        <v>43</v>
      </c>
      <c r="F101" s="2" t="s">
        <v>28</v>
      </c>
      <c r="G101" s="2" t="s">
        <v>294</v>
      </c>
      <c r="H101" s="2" t="s">
        <v>329</v>
      </c>
      <c r="I101" s="2" t="s">
        <v>294</v>
      </c>
      <c r="J101" s="2" t="s">
        <v>294</v>
      </c>
      <c r="K101" s="2" t="s">
        <v>323</v>
      </c>
      <c r="L101" s="2" t="s">
        <v>32</v>
      </c>
      <c r="M101" s="3">
        <v>65</v>
      </c>
      <c r="N101" s="3">
        <v>1.92</v>
      </c>
      <c r="O101" s="3">
        <v>0.35</v>
      </c>
      <c r="P101" s="3">
        <v>62.73</v>
      </c>
      <c r="Q101" s="3">
        <v>0</v>
      </c>
      <c r="R101" s="2" t="s">
        <v>324</v>
      </c>
      <c r="S101" s="2" t="s">
        <v>45</v>
      </c>
      <c r="T101" s="2">
        <v>7040044</v>
      </c>
      <c r="U101" s="2" t="s">
        <v>36</v>
      </c>
      <c r="V101" s="2" t="s">
        <v>330</v>
      </c>
      <c r="W101" s="2">
        <v>255129</v>
      </c>
      <c r="X101" s="2"/>
      <c r="Y101" s="2"/>
      <c r="Z101">
        <v>604</v>
      </c>
      <c r="AA101" t="s">
        <v>48</v>
      </c>
    </row>
    <row r="102" spans="1:27" x14ac:dyDescent="0.25">
      <c r="A102" s="4" t="str">
        <f t="shared" si="2"/>
        <v>2111-235901</v>
      </c>
      <c r="B102" s="18" t="str">
        <f t="shared" si="3"/>
        <v>SERIE: MPP001LL3- POS QR -  VAUCHER N° 7000565 -  OP: 235901</v>
      </c>
      <c r="C102" s="2" t="s">
        <v>25</v>
      </c>
      <c r="D102" s="2" t="s">
        <v>26</v>
      </c>
      <c r="E102" s="2" t="s">
        <v>43</v>
      </c>
      <c r="F102" s="2" t="s">
        <v>28</v>
      </c>
      <c r="G102" s="2" t="s">
        <v>294</v>
      </c>
      <c r="H102" s="2" t="s">
        <v>331</v>
      </c>
      <c r="I102" s="2" t="s">
        <v>294</v>
      </c>
      <c r="J102" s="2" t="s">
        <v>294</v>
      </c>
      <c r="K102" s="2" t="s">
        <v>323</v>
      </c>
      <c r="L102" s="2" t="s">
        <v>32</v>
      </c>
      <c r="M102" s="3">
        <v>105</v>
      </c>
      <c r="N102" s="3">
        <v>3.11</v>
      </c>
      <c r="O102" s="3">
        <v>0.56000000000000005</v>
      </c>
      <c r="P102" s="3">
        <v>101.33</v>
      </c>
      <c r="Q102" s="3">
        <v>0</v>
      </c>
      <c r="R102" s="2" t="s">
        <v>324</v>
      </c>
      <c r="S102" s="2" t="s">
        <v>45</v>
      </c>
      <c r="T102" s="2">
        <v>7000565</v>
      </c>
      <c r="U102" s="2" t="s">
        <v>36</v>
      </c>
      <c r="V102" s="2" t="s">
        <v>332</v>
      </c>
      <c r="W102" s="2">
        <v>235901</v>
      </c>
      <c r="X102" s="2"/>
      <c r="Y102" s="2"/>
      <c r="Z102">
        <v>604</v>
      </c>
      <c r="AA102" t="s">
        <v>48</v>
      </c>
    </row>
    <row r="103" spans="1:27" x14ac:dyDescent="0.25">
      <c r="A103" s="4" t="str">
        <f t="shared" si="2"/>
        <v>2111-083418</v>
      </c>
      <c r="B103" s="18" t="str">
        <f t="shared" si="3"/>
        <v>SERIE: MPP001LL3- POS QR -  VAUCHER N° 1001865 -  OP: 083418</v>
      </c>
      <c r="C103" s="2" t="s">
        <v>25</v>
      </c>
      <c r="D103" s="2" t="s">
        <v>26</v>
      </c>
      <c r="E103" s="2" t="s">
        <v>43</v>
      </c>
      <c r="F103" s="2" t="s">
        <v>28</v>
      </c>
      <c r="G103" s="2" t="s">
        <v>294</v>
      </c>
      <c r="H103" s="2" t="s">
        <v>333</v>
      </c>
      <c r="I103" s="2" t="s">
        <v>294</v>
      </c>
      <c r="J103" s="2" t="s">
        <v>294</v>
      </c>
      <c r="K103" s="2" t="s">
        <v>323</v>
      </c>
      <c r="L103" s="2" t="s">
        <v>32</v>
      </c>
      <c r="M103" s="3">
        <v>90</v>
      </c>
      <c r="N103" s="3">
        <v>2.66</v>
      </c>
      <c r="O103" s="3">
        <v>0.48</v>
      </c>
      <c r="P103" s="3">
        <v>86.86</v>
      </c>
      <c r="Q103" s="3">
        <v>0</v>
      </c>
      <c r="R103" s="2" t="s">
        <v>324</v>
      </c>
      <c r="S103" s="2" t="s">
        <v>45</v>
      </c>
      <c r="T103" s="2">
        <v>1001865</v>
      </c>
      <c r="U103" s="2" t="s">
        <v>36</v>
      </c>
      <c r="V103" s="2" t="s">
        <v>334</v>
      </c>
      <c r="W103" s="2" t="s">
        <v>335</v>
      </c>
      <c r="X103" s="2"/>
      <c r="Y103" s="2"/>
      <c r="Z103">
        <v>604</v>
      </c>
      <c r="AA103" t="s">
        <v>48</v>
      </c>
    </row>
    <row r="104" spans="1:27" x14ac:dyDescent="0.25">
      <c r="A104" s="4" t="str">
        <f t="shared" si="2"/>
        <v>2111-125416</v>
      </c>
      <c r="B104" s="18" t="str">
        <f t="shared" si="3"/>
        <v>SERIE: CD8S9119- POS CONTACTLESS CHIP -  VAUCHER N° 0005839 -  OP: 125416</v>
      </c>
      <c r="C104" s="2" t="s">
        <v>25</v>
      </c>
      <c r="D104" s="2" t="s">
        <v>26</v>
      </c>
      <c r="E104" s="2" t="s">
        <v>27</v>
      </c>
      <c r="F104" s="2" t="s">
        <v>28</v>
      </c>
      <c r="G104" s="2" t="s">
        <v>323</v>
      </c>
      <c r="H104" s="2" t="s">
        <v>336</v>
      </c>
      <c r="I104" s="2" t="s">
        <v>323</v>
      </c>
      <c r="J104" s="2" t="s">
        <v>323</v>
      </c>
      <c r="K104" s="2" t="s">
        <v>337</v>
      </c>
      <c r="L104" s="2" t="s">
        <v>32</v>
      </c>
      <c r="M104" s="3">
        <v>165</v>
      </c>
      <c r="N104" s="3">
        <v>4.88</v>
      </c>
      <c r="O104" s="3">
        <v>0.88</v>
      </c>
      <c r="P104" s="3">
        <v>159.24</v>
      </c>
      <c r="Q104" s="3">
        <v>1493.94</v>
      </c>
      <c r="R104" s="2" t="s">
        <v>338</v>
      </c>
      <c r="S104" s="2" t="s">
        <v>34</v>
      </c>
      <c r="T104" s="2" t="s">
        <v>339</v>
      </c>
      <c r="U104" s="2" t="s">
        <v>36</v>
      </c>
      <c r="V104" s="2" t="s">
        <v>340</v>
      </c>
      <c r="W104" s="2">
        <v>125416</v>
      </c>
      <c r="X104" s="2"/>
      <c r="Y104" s="2"/>
      <c r="Z104">
        <v>604</v>
      </c>
      <c r="AA104" t="s">
        <v>39</v>
      </c>
    </row>
    <row r="105" spans="1:27" x14ac:dyDescent="0.25">
      <c r="A105" s="4" t="str">
        <f t="shared" si="2"/>
        <v>2111-309271</v>
      </c>
      <c r="B105" s="18" t="str">
        <f t="shared" si="3"/>
        <v>SERIE: CD8S9119- POS CONTACTLESS CHIP -  VAUCHER N° 0005828 -  OP: 309271</v>
      </c>
      <c r="C105" s="2" t="s">
        <v>25</v>
      </c>
      <c r="D105" s="2" t="s">
        <v>26</v>
      </c>
      <c r="E105" s="2" t="s">
        <v>27</v>
      </c>
      <c r="F105" s="2" t="s">
        <v>28</v>
      </c>
      <c r="G105" s="2" t="s">
        <v>323</v>
      </c>
      <c r="H105" s="2" t="s">
        <v>341</v>
      </c>
      <c r="I105" s="2" t="s">
        <v>323</v>
      </c>
      <c r="J105" s="2" t="s">
        <v>323</v>
      </c>
      <c r="K105" s="2" t="s">
        <v>337</v>
      </c>
      <c r="L105" s="2" t="s">
        <v>32</v>
      </c>
      <c r="M105" s="3">
        <v>35</v>
      </c>
      <c r="N105" s="3">
        <v>1.04</v>
      </c>
      <c r="O105" s="3">
        <v>0.19</v>
      </c>
      <c r="P105" s="3">
        <v>33.770000000000003</v>
      </c>
      <c r="Q105" s="3">
        <v>0</v>
      </c>
      <c r="R105" s="2" t="s">
        <v>338</v>
      </c>
      <c r="S105" s="2" t="s">
        <v>34</v>
      </c>
      <c r="T105" s="2" t="s">
        <v>342</v>
      </c>
      <c r="U105" s="2" t="s">
        <v>36</v>
      </c>
      <c r="V105" s="2" t="s">
        <v>343</v>
      </c>
      <c r="W105" s="2">
        <v>309271</v>
      </c>
      <c r="X105" s="2"/>
      <c r="Y105" s="2"/>
      <c r="Z105">
        <v>604</v>
      </c>
      <c r="AA105" t="s">
        <v>39</v>
      </c>
    </row>
    <row r="106" spans="1:27" x14ac:dyDescent="0.25">
      <c r="A106" s="4" t="str">
        <f t="shared" si="2"/>
        <v>2111-954960</v>
      </c>
      <c r="B106" s="18" t="str">
        <f t="shared" si="3"/>
        <v>SERIE: CD8S9119- POS CONTACTLESS CHIP -  VAUCHER N° 0005819 -  OP: 954960</v>
      </c>
      <c r="C106" s="2" t="s">
        <v>25</v>
      </c>
      <c r="D106" s="2" t="s">
        <v>26</v>
      </c>
      <c r="E106" s="2" t="s">
        <v>27</v>
      </c>
      <c r="F106" s="2" t="s">
        <v>28</v>
      </c>
      <c r="G106" s="2" t="s">
        <v>323</v>
      </c>
      <c r="H106" s="2" t="s">
        <v>344</v>
      </c>
      <c r="I106" s="2" t="s">
        <v>323</v>
      </c>
      <c r="J106" s="2" t="s">
        <v>323</v>
      </c>
      <c r="K106" s="2" t="s">
        <v>337</v>
      </c>
      <c r="L106" s="2" t="s">
        <v>32</v>
      </c>
      <c r="M106" s="3">
        <v>40</v>
      </c>
      <c r="N106" s="3">
        <v>1.18</v>
      </c>
      <c r="O106" s="3">
        <v>0.21</v>
      </c>
      <c r="P106" s="3">
        <v>38.61</v>
      </c>
      <c r="Q106" s="3">
        <v>0</v>
      </c>
      <c r="R106" s="2" t="s">
        <v>338</v>
      </c>
      <c r="S106" s="2" t="s">
        <v>34</v>
      </c>
      <c r="T106" s="2" t="s">
        <v>345</v>
      </c>
      <c r="U106" s="2" t="s">
        <v>36</v>
      </c>
      <c r="V106" s="2" t="s">
        <v>346</v>
      </c>
      <c r="W106" s="2">
        <v>954960</v>
      </c>
      <c r="X106" s="2"/>
      <c r="Y106" s="2"/>
      <c r="Z106">
        <v>604</v>
      </c>
      <c r="AA106" t="s">
        <v>39</v>
      </c>
    </row>
    <row r="107" spans="1:27" x14ac:dyDescent="0.25">
      <c r="A107" s="4" t="str">
        <f t="shared" si="2"/>
        <v>2111-257247</v>
      </c>
      <c r="B107" s="18" t="str">
        <f t="shared" si="3"/>
        <v>SERIE: CD8S9119- POS CONTACTLESS CHIP -  VAUCHER N° 0005817 -  OP: 257247</v>
      </c>
      <c r="C107" s="2" t="s">
        <v>25</v>
      </c>
      <c r="D107" s="2" t="s">
        <v>26</v>
      </c>
      <c r="E107" s="2" t="s">
        <v>27</v>
      </c>
      <c r="F107" s="2" t="s">
        <v>28</v>
      </c>
      <c r="G107" s="2" t="s">
        <v>323</v>
      </c>
      <c r="H107" s="2" t="s">
        <v>347</v>
      </c>
      <c r="I107" s="2" t="s">
        <v>323</v>
      </c>
      <c r="J107" s="2" t="s">
        <v>323</v>
      </c>
      <c r="K107" s="2" t="s">
        <v>337</v>
      </c>
      <c r="L107" s="2" t="s">
        <v>32</v>
      </c>
      <c r="M107" s="3">
        <v>40</v>
      </c>
      <c r="N107" s="3">
        <v>1.18</v>
      </c>
      <c r="O107" s="3">
        <v>0.21</v>
      </c>
      <c r="P107" s="3">
        <v>38.61</v>
      </c>
      <c r="Q107" s="3">
        <v>0</v>
      </c>
      <c r="R107" s="2" t="s">
        <v>338</v>
      </c>
      <c r="S107" s="2" t="s">
        <v>34</v>
      </c>
      <c r="T107" s="2" t="s">
        <v>348</v>
      </c>
      <c r="U107" s="2" t="s">
        <v>36</v>
      </c>
      <c r="V107" s="2" t="s">
        <v>346</v>
      </c>
      <c r="W107" s="2">
        <v>257247</v>
      </c>
      <c r="X107" s="2"/>
      <c r="Y107" s="2"/>
      <c r="Z107">
        <v>604</v>
      </c>
      <c r="AA107" t="s">
        <v>39</v>
      </c>
    </row>
    <row r="108" spans="1:27" x14ac:dyDescent="0.25">
      <c r="A108" s="4" t="str">
        <f t="shared" si="2"/>
        <v>2111-942511</v>
      </c>
      <c r="B108" s="18" t="str">
        <f t="shared" si="3"/>
        <v>SERIE: CD8S9119- POS CONTACTLESS CHIP -  VAUCHER N° 0005815 -  OP: 942511</v>
      </c>
      <c r="C108" s="2" t="s">
        <v>25</v>
      </c>
      <c r="D108" s="2" t="s">
        <v>26</v>
      </c>
      <c r="E108" s="2" t="s">
        <v>27</v>
      </c>
      <c r="F108" s="2" t="s">
        <v>28</v>
      </c>
      <c r="G108" s="2" t="s">
        <v>323</v>
      </c>
      <c r="H108" s="2" t="s">
        <v>349</v>
      </c>
      <c r="I108" s="2" t="s">
        <v>323</v>
      </c>
      <c r="J108" s="2" t="s">
        <v>323</v>
      </c>
      <c r="K108" s="2" t="s">
        <v>337</v>
      </c>
      <c r="L108" s="2" t="s">
        <v>32</v>
      </c>
      <c r="M108" s="3">
        <v>40</v>
      </c>
      <c r="N108" s="3">
        <v>1.18</v>
      </c>
      <c r="O108" s="3">
        <v>0.21</v>
      </c>
      <c r="P108" s="3">
        <v>38.61</v>
      </c>
      <c r="Q108" s="3">
        <v>0</v>
      </c>
      <c r="R108" s="2" t="s">
        <v>338</v>
      </c>
      <c r="S108" s="2" t="s">
        <v>34</v>
      </c>
      <c r="T108" s="2" t="s">
        <v>350</v>
      </c>
      <c r="U108" s="2" t="s">
        <v>36</v>
      </c>
      <c r="V108" s="2" t="s">
        <v>346</v>
      </c>
      <c r="W108" s="2">
        <v>942511</v>
      </c>
      <c r="X108" s="2"/>
      <c r="Y108" s="2"/>
      <c r="Z108">
        <v>604</v>
      </c>
      <c r="AA108" t="s">
        <v>39</v>
      </c>
    </row>
    <row r="109" spans="1:27" x14ac:dyDescent="0.25">
      <c r="A109" s="4" t="str">
        <f t="shared" si="2"/>
        <v>2111-062067</v>
      </c>
      <c r="B109" s="18" t="str">
        <f t="shared" si="3"/>
        <v>SERIE: CD8S9119- POS CONTACTLESS CHIP -  VAUCHER N° 0005808 -  OP: 062067</v>
      </c>
      <c r="C109" s="2" t="s">
        <v>25</v>
      </c>
      <c r="D109" s="2" t="s">
        <v>26</v>
      </c>
      <c r="E109" s="2" t="s">
        <v>27</v>
      </c>
      <c r="F109" s="2" t="s">
        <v>28</v>
      </c>
      <c r="G109" s="2" t="s">
        <v>323</v>
      </c>
      <c r="H109" s="2" t="s">
        <v>351</v>
      </c>
      <c r="I109" s="2" t="s">
        <v>323</v>
      </c>
      <c r="J109" s="2" t="s">
        <v>323</v>
      </c>
      <c r="K109" s="2" t="s">
        <v>337</v>
      </c>
      <c r="L109" s="2" t="s">
        <v>32</v>
      </c>
      <c r="M109" s="3">
        <v>600</v>
      </c>
      <c r="N109" s="3">
        <v>17.760000000000002</v>
      </c>
      <c r="O109" s="3">
        <v>3.2</v>
      </c>
      <c r="P109" s="3">
        <v>579.04</v>
      </c>
      <c r="Q109" s="3">
        <v>0</v>
      </c>
      <c r="R109" s="2" t="s">
        <v>338</v>
      </c>
      <c r="S109" s="2" t="s">
        <v>34</v>
      </c>
      <c r="T109" s="2" t="s">
        <v>352</v>
      </c>
      <c r="U109" s="2" t="s">
        <v>36</v>
      </c>
      <c r="V109" s="2" t="s">
        <v>353</v>
      </c>
      <c r="W109" s="2" t="s">
        <v>354</v>
      </c>
      <c r="X109" s="2"/>
      <c r="Y109" s="2"/>
      <c r="Z109">
        <v>604</v>
      </c>
      <c r="AA109" t="s">
        <v>39</v>
      </c>
    </row>
    <row r="110" spans="1:27" x14ac:dyDescent="0.25">
      <c r="A110" s="4" t="str">
        <f t="shared" si="2"/>
        <v>2111-257258</v>
      </c>
      <c r="B110" s="18" t="str">
        <f t="shared" si="3"/>
        <v>SERIE: MPP001LL3- POS QR -  VAUCHER N° 7029634 -  OP: 257258</v>
      </c>
      <c r="C110" s="2" t="s">
        <v>25</v>
      </c>
      <c r="D110" s="2" t="s">
        <v>26</v>
      </c>
      <c r="E110" s="2" t="s">
        <v>43</v>
      </c>
      <c r="F110" s="2" t="s">
        <v>28</v>
      </c>
      <c r="G110" s="2" t="s">
        <v>323</v>
      </c>
      <c r="H110" s="2" t="s">
        <v>355</v>
      </c>
      <c r="I110" s="2" t="s">
        <v>323</v>
      </c>
      <c r="J110" s="2" t="s">
        <v>323</v>
      </c>
      <c r="K110" s="2" t="s">
        <v>337</v>
      </c>
      <c r="L110" s="2" t="s">
        <v>32</v>
      </c>
      <c r="M110" s="3">
        <v>157.5</v>
      </c>
      <c r="N110" s="3">
        <v>4.66</v>
      </c>
      <c r="O110" s="3">
        <v>0.84</v>
      </c>
      <c r="P110" s="3">
        <v>152</v>
      </c>
      <c r="Q110" s="3">
        <v>0</v>
      </c>
      <c r="R110" s="2" t="s">
        <v>338</v>
      </c>
      <c r="S110" s="2" t="s">
        <v>45</v>
      </c>
      <c r="T110" s="2">
        <v>7029634</v>
      </c>
      <c r="U110" s="2" t="s">
        <v>36</v>
      </c>
      <c r="V110" s="2" t="s">
        <v>356</v>
      </c>
      <c r="W110" s="2">
        <v>257258</v>
      </c>
      <c r="X110" s="2"/>
      <c r="Y110" s="2"/>
      <c r="Z110">
        <v>604</v>
      </c>
      <c r="AA110" t="s">
        <v>48</v>
      </c>
    </row>
    <row r="111" spans="1:27" x14ac:dyDescent="0.25">
      <c r="A111" s="4" t="str">
        <f t="shared" si="2"/>
        <v>2111-118018</v>
      </c>
      <c r="B111" s="18" t="str">
        <f t="shared" si="3"/>
        <v>SERIE: MPP001LL3- POS QR -  VAUCHER N° 2011218 -  OP: 118018</v>
      </c>
      <c r="C111" s="2" t="s">
        <v>25</v>
      </c>
      <c r="D111" s="2" t="s">
        <v>26</v>
      </c>
      <c r="E111" s="2" t="s">
        <v>43</v>
      </c>
      <c r="F111" s="2" t="s">
        <v>28</v>
      </c>
      <c r="G111" s="2" t="s">
        <v>323</v>
      </c>
      <c r="H111" s="2" t="s">
        <v>357</v>
      </c>
      <c r="I111" s="2" t="s">
        <v>323</v>
      </c>
      <c r="J111" s="2" t="s">
        <v>323</v>
      </c>
      <c r="K111" s="2" t="s">
        <v>337</v>
      </c>
      <c r="L111" s="2" t="s">
        <v>32</v>
      </c>
      <c r="M111" s="3">
        <v>67.5</v>
      </c>
      <c r="N111" s="3">
        <v>2</v>
      </c>
      <c r="O111" s="3">
        <v>0.36</v>
      </c>
      <c r="P111" s="3">
        <v>65.14</v>
      </c>
      <c r="Q111" s="3">
        <v>0</v>
      </c>
      <c r="R111" s="2" t="s">
        <v>338</v>
      </c>
      <c r="S111" s="2" t="s">
        <v>45</v>
      </c>
      <c r="T111" s="2">
        <v>2011218</v>
      </c>
      <c r="U111" s="2" t="s">
        <v>36</v>
      </c>
      <c r="V111" s="2" t="s">
        <v>116</v>
      </c>
      <c r="W111" s="2">
        <v>118018</v>
      </c>
      <c r="X111" s="2"/>
      <c r="Y111" s="2"/>
      <c r="Z111">
        <v>604</v>
      </c>
      <c r="AA111" t="s">
        <v>48</v>
      </c>
    </row>
    <row r="112" spans="1:27" x14ac:dyDescent="0.25">
      <c r="A112" s="4" t="str">
        <f t="shared" si="2"/>
        <v>2111-244779</v>
      </c>
      <c r="B112" s="18" t="str">
        <f t="shared" si="3"/>
        <v>SERIE: MPP001LL3- POS QR -  VAUCHER N° 7004004 -  OP: 244779</v>
      </c>
      <c r="C112" s="2" t="s">
        <v>25</v>
      </c>
      <c r="D112" s="2" t="s">
        <v>26</v>
      </c>
      <c r="E112" s="2" t="s">
        <v>43</v>
      </c>
      <c r="F112" s="2" t="s">
        <v>28</v>
      </c>
      <c r="G112" s="2" t="s">
        <v>323</v>
      </c>
      <c r="H112" s="2" t="s">
        <v>358</v>
      </c>
      <c r="I112" s="2" t="s">
        <v>323</v>
      </c>
      <c r="J112" s="2" t="s">
        <v>323</v>
      </c>
      <c r="K112" s="2" t="s">
        <v>337</v>
      </c>
      <c r="L112" s="2" t="s">
        <v>32</v>
      </c>
      <c r="M112" s="3">
        <v>100</v>
      </c>
      <c r="N112" s="3">
        <v>2.96</v>
      </c>
      <c r="O112" s="3">
        <v>0.53</v>
      </c>
      <c r="P112" s="3">
        <v>96.51</v>
      </c>
      <c r="Q112" s="3">
        <v>0</v>
      </c>
      <c r="R112" s="2" t="s">
        <v>338</v>
      </c>
      <c r="S112" s="2" t="s">
        <v>45</v>
      </c>
      <c r="T112" s="2">
        <v>7004004</v>
      </c>
      <c r="U112" s="2" t="s">
        <v>36</v>
      </c>
      <c r="V112" s="2" t="s">
        <v>359</v>
      </c>
      <c r="W112" s="2">
        <v>244779</v>
      </c>
      <c r="X112" s="2"/>
      <c r="Y112" s="2"/>
      <c r="Z112">
        <v>604</v>
      </c>
      <c r="AA112" t="s">
        <v>48</v>
      </c>
    </row>
    <row r="113" spans="1:27" x14ac:dyDescent="0.25">
      <c r="A113" s="4" t="str">
        <f t="shared" si="2"/>
        <v>2111-264576</v>
      </c>
      <c r="B113" s="18" t="str">
        <f t="shared" si="3"/>
        <v>SERIE: MPP001LL3- POS QR -  VAUCHER N° 7044694 -  OP: 264576</v>
      </c>
      <c r="C113" s="2" t="s">
        <v>25</v>
      </c>
      <c r="D113" s="2" t="s">
        <v>26</v>
      </c>
      <c r="E113" s="2" t="s">
        <v>43</v>
      </c>
      <c r="F113" s="2" t="s">
        <v>28</v>
      </c>
      <c r="G113" s="2" t="s">
        <v>323</v>
      </c>
      <c r="H113" s="2" t="s">
        <v>225</v>
      </c>
      <c r="I113" s="2" t="s">
        <v>323</v>
      </c>
      <c r="J113" s="2" t="s">
        <v>323</v>
      </c>
      <c r="K113" s="2" t="s">
        <v>337</v>
      </c>
      <c r="L113" s="2" t="s">
        <v>32</v>
      </c>
      <c r="M113" s="3">
        <v>120</v>
      </c>
      <c r="N113" s="3">
        <v>3.55</v>
      </c>
      <c r="O113" s="3">
        <v>0.64</v>
      </c>
      <c r="P113" s="3">
        <v>115.81</v>
      </c>
      <c r="Q113" s="3">
        <v>0</v>
      </c>
      <c r="R113" s="2" t="s">
        <v>338</v>
      </c>
      <c r="S113" s="2" t="s">
        <v>45</v>
      </c>
      <c r="T113" s="2">
        <v>7044694</v>
      </c>
      <c r="U113" s="2" t="s">
        <v>36</v>
      </c>
      <c r="V113" s="2" t="s">
        <v>360</v>
      </c>
      <c r="W113" s="2">
        <v>264576</v>
      </c>
      <c r="X113" s="2"/>
      <c r="Y113" s="2"/>
      <c r="Z113">
        <v>604</v>
      </c>
      <c r="AA113" t="s">
        <v>48</v>
      </c>
    </row>
    <row r="114" spans="1:27" x14ac:dyDescent="0.25">
      <c r="A114" s="4" t="str">
        <f t="shared" si="2"/>
        <v>2111-251553</v>
      </c>
      <c r="B114" s="18" t="str">
        <f t="shared" si="3"/>
        <v>SERIE: MPP001LL3- POS QR -  VAUCHER N° 7017947 -  OP: 251553</v>
      </c>
      <c r="C114" s="2" t="s">
        <v>25</v>
      </c>
      <c r="D114" s="2" t="s">
        <v>26</v>
      </c>
      <c r="E114" s="2" t="s">
        <v>43</v>
      </c>
      <c r="F114" s="2" t="s">
        <v>28</v>
      </c>
      <c r="G114" s="2" t="s">
        <v>323</v>
      </c>
      <c r="H114" s="2" t="s">
        <v>361</v>
      </c>
      <c r="I114" s="2" t="s">
        <v>323</v>
      </c>
      <c r="J114" s="2" t="s">
        <v>323</v>
      </c>
      <c r="K114" s="2" t="s">
        <v>337</v>
      </c>
      <c r="L114" s="2" t="s">
        <v>32</v>
      </c>
      <c r="M114" s="3">
        <v>35</v>
      </c>
      <c r="N114" s="3">
        <v>1.04</v>
      </c>
      <c r="O114" s="3">
        <v>0.19</v>
      </c>
      <c r="P114" s="3">
        <v>33.770000000000003</v>
      </c>
      <c r="Q114" s="3">
        <v>0</v>
      </c>
      <c r="R114" s="2" t="s">
        <v>338</v>
      </c>
      <c r="S114" s="2" t="s">
        <v>45</v>
      </c>
      <c r="T114" s="2">
        <v>7017947</v>
      </c>
      <c r="U114" s="2" t="s">
        <v>36</v>
      </c>
      <c r="V114" s="2" t="s">
        <v>362</v>
      </c>
      <c r="W114" s="2">
        <v>251553</v>
      </c>
      <c r="X114" s="2"/>
      <c r="Y114" s="2"/>
      <c r="Z114">
        <v>604</v>
      </c>
      <c r="AA114" t="s">
        <v>48</v>
      </c>
    </row>
    <row r="115" spans="1:27" x14ac:dyDescent="0.25">
      <c r="A115" s="4" t="str">
        <f t="shared" si="2"/>
        <v>2111-219370</v>
      </c>
      <c r="B115" s="18" t="str">
        <f t="shared" si="3"/>
        <v>SERIE: MPP001LL3- POS QR -  VAUCHER N° 6002851 -  OP: 219370</v>
      </c>
      <c r="C115" s="2" t="s">
        <v>25</v>
      </c>
      <c r="D115" s="2" t="s">
        <v>26</v>
      </c>
      <c r="E115" s="2" t="s">
        <v>43</v>
      </c>
      <c r="F115" s="2" t="s">
        <v>28</v>
      </c>
      <c r="G115" s="2" t="s">
        <v>323</v>
      </c>
      <c r="H115" s="2" t="s">
        <v>363</v>
      </c>
      <c r="I115" s="2" t="s">
        <v>323</v>
      </c>
      <c r="J115" s="2" t="s">
        <v>323</v>
      </c>
      <c r="K115" s="2" t="s">
        <v>337</v>
      </c>
      <c r="L115" s="2" t="s">
        <v>32</v>
      </c>
      <c r="M115" s="3">
        <v>108</v>
      </c>
      <c r="N115" s="3">
        <v>3.2</v>
      </c>
      <c r="O115" s="3">
        <v>0.57999999999999996</v>
      </c>
      <c r="P115" s="3">
        <v>104.22</v>
      </c>
      <c r="Q115" s="3">
        <v>0</v>
      </c>
      <c r="R115" s="2" t="s">
        <v>338</v>
      </c>
      <c r="S115" s="2" t="s">
        <v>45</v>
      </c>
      <c r="T115" s="2">
        <v>6002851</v>
      </c>
      <c r="U115" s="2" t="s">
        <v>36</v>
      </c>
      <c r="V115" s="2" t="s">
        <v>364</v>
      </c>
      <c r="W115" s="2">
        <v>219370</v>
      </c>
      <c r="X115" s="2"/>
      <c r="Y115" s="2"/>
      <c r="Z115">
        <v>604</v>
      </c>
      <c r="AA115" t="s">
        <v>48</v>
      </c>
    </row>
    <row r="116" spans="1:27" x14ac:dyDescent="0.25">
      <c r="A116" s="4" t="str">
        <f t="shared" si="2"/>
        <v>2111-236816</v>
      </c>
      <c r="B116" s="18" t="str">
        <f t="shared" si="3"/>
        <v>SERIE: MPP001LL3- POS QR -  VAUCHER N° 6038888 -  OP: 236816</v>
      </c>
      <c r="C116" s="2" t="s">
        <v>25</v>
      </c>
      <c r="D116" s="2" t="s">
        <v>26</v>
      </c>
      <c r="E116" s="2" t="s">
        <v>43</v>
      </c>
      <c r="F116" s="2" t="s">
        <v>28</v>
      </c>
      <c r="G116" s="2" t="s">
        <v>323</v>
      </c>
      <c r="H116" s="2" t="s">
        <v>365</v>
      </c>
      <c r="I116" s="2" t="s">
        <v>323</v>
      </c>
      <c r="J116" s="2" t="s">
        <v>323</v>
      </c>
      <c r="K116" s="2" t="s">
        <v>337</v>
      </c>
      <c r="L116" s="2" t="s">
        <v>32</v>
      </c>
      <c r="M116" s="3">
        <v>40</v>
      </c>
      <c r="N116" s="3">
        <v>1.18</v>
      </c>
      <c r="O116" s="3">
        <v>0.21</v>
      </c>
      <c r="P116" s="3">
        <v>38.61</v>
      </c>
      <c r="Q116" s="3">
        <v>0</v>
      </c>
      <c r="R116" s="2" t="s">
        <v>338</v>
      </c>
      <c r="S116" s="2" t="s">
        <v>45</v>
      </c>
      <c r="T116" s="2">
        <v>6038888</v>
      </c>
      <c r="U116" s="2" t="s">
        <v>36</v>
      </c>
      <c r="V116" s="2" t="s">
        <v>366</v>
      </c>
      <c r="W116" s="2">
        <v>236816</v>
      </c>
      <c r="X116" s="2"/>
      <c r="Y116" s="2"/>
      <c r="Z116">
        <v>604</v>
      </c>
      <c r="AA116" t="s">
        <v>48</v>
      </c>
    </row>
    <row r="117" spans="1:27" x14ac:dyDescent="0.25">
      <c r="A117" s="4" t="str">
        <f t="shared" si="2"/>
        <v>2111-257089</v>
      </c>
      <c r="B117" s="18" t="str">
        <f t="shared" si="3"/>
        <v>SERIE: MPP001LL3- POS QR -  VAUCHER N° 7054664 -  OP: 257089</v>
      </c>
      <c r="C117" s="2" t="s">
        <v>25</v>
      </c>
      <c r="D117" s="2" t="s">
        <v>26</v>
      </c>
      <c r="E117" s="2" t="s">
        <v>43</v>
      </c>
      <c r="F117" s="2" t="s">
        <v>28</v>
      </c>
      <c r="G117" s="2" t="s">
        <v>337</v>
      </c>
      <c r="H117" s="2" t="s">
        <v>367</v>
      </c>
      <c r="I117" s="2" t="s">
        <v>337</v>
      </c>
      <c r="J117" s="2" t="s">
        <v>337</v>
      </c>
      <c r="K117" s="2" t="s">
        <v>368</v>
      </c>
      <c r="L117" s="2" t="s">
        <v>32</v>
      </c>
      <c r="M117" s="3">
        <v>285</v>
      </c>
      <c r="N117" s="3">
        <v>8.44</v>
      </c>
      <c r="O117" s="3">
        <v>1.52</v>
      </c>
      <c r="P117" s="3">
        <v>275.04000000000002</v>
      </c>
      <c r="Q117" s="3">
        <v>0</v>
      </c>
      <c r="R117" s="2" t="s">
        <v>369</v>
      </c>
      <c r="S117" s="2" t="s">
        <v>45</v>
      </c>
      <c r="T117" s="2">
        <v>7054664</v>
      </c>
      <c r="U117" s="2" t="s">
        <v>36</v>
      </c>
      <c r="V117" s="2" t="s">
        <v>370</v>
      </c>
      <c r="W117" s="2">
        <v>257089</v>
      </c>
      <c r="X117" s="2"/>
      <c r="Y117" s="2"/>
      <c r="Z117">
        <v>604</v>
      </c>
      <c r="AA117" t="s">
        <v>48</v>
      </c>
    </row>
    <row r="118" spans="1:27" x14ac:dyDescent="0.25">
      <c r="A118" s="4" t="str">
        <f t="shared" si="2"/>
        <v>2111-283129</v>
      </c>
      <c r="B118" s="18" t="str">
        <f t="shared" si="3"/>
        <v>SERIE: MPP001LL3- POS QR -  VAUCHER N° 8051175 -  OP: 283129</v>
      </c>
      <c r="C118" s="2" t="s">
        <v>25</v>
      </c>
      <c r="D118" s="2" t="s">
        <v>26</v>
      </c>
      <c r="E118" s="2" t="s">
        <v>43</v>
      </c>
      <c r="F118" s="2" t="s">
        <v>28</v>
      </c>
      <c r="G118" s="2" t="s">
        <v>337</v>
      </c>
      <c r="H118" s="2" t="s">
        <v>371</v>
      </c>
      <c r="I118" s="2" t="s">
        <v>337</v>
      </c>
      <c r="J118" s="2" t="s">
        <v>337</v>
      </c>
      <c r="K118" s="2" t="s">
        <v>368</v>
      </c>
      <c r="L118" s="2" t="s">
        <v>32</v>
      </c>
      <c r="M118" s="3">
        <v>105</v>
      </c>
      <c r="N118" s="3">
        <v>3.11</v>
      </c>
      <c r="O118" s="3">
        <v>0.56000000000000005</v>
      </c>
      <c r="P118" s="3">
        <v>101.33</v>
      </c>
      <c r="Q118" s="3">
        <v>0</v>
      </c>
      <c r="R118" s="2" t="s">
        <v>369</v>
      </c>
      <c r="S118" s="2" t="s">
        <v>45</v>
      </c>
      <c r="T118" s="2">
        <v>8051175</v>
      </c>
      <c r="U118" s="2" t="s">
        <v>36</v>
      </c>
      <c r="V118" s="2" t="s">
        <v>372</v>
      </c>
      <c r="W118" s="2">
        <v>283129</v>
      </c>
      <c r="X118" s="2"/>
      <c r="Y118" s="2"/>
      <c r="Z118">
        <v>604</v>
      </c>
      <c r="AA118" t="s">
        <v>48</v>
      </c>
    </row>
    <row r="119" spans="1:27" x14ac:dyDescent="0.25">
      <c r="A119" s="4" t="str">
        <f t="shared" si="2"/>
        <v>2111-773710</v>
      </c>
      <c r="B119" s="18" t="str">
        <f t="shared" si="3"/>
        <v>SERIE: CD8S9119- POS CONTACTLESS CHIP -  VAUCHER N° 0005857 -  OP: 773710</v>
      </c>
      <c r="C119" s="2" t="s">
        <v>25</v>
      </c>
      <c r="D119" s="2" t="s">
        <v>26</v>
      </c>
      <c r="E119" s="2" t="s">
        <v>27</v>
      </c>
      <c r="F119" s="2" t="s">
        <v>28</v>
      </c>
      <c r="G119" s="2" t="s">
        <v>337</v>
      </c>
      <c r="H119" s="2" t="s">
        <v>373</v>
      </c>
      <c r="I119" s="2" t="s">
        <v>337</v>
      </c>
      <c r="J119" s="2" t="s">
        <v>337</v>
      </c>
      <c r="K119" s="2" t="s">
        <v>368</v>
      </c>
      <c r="L119" s="2" t="s">
        <v>32</v>
      </c>
      <c r="M119" s="3">
        <v>193</v>
      </c>
      <c r="N119" s="3">
        <v>5.71</v>
      </c>
      <c r="O119" s="3">
        <v>1.03</v>
      </c>
      <c r="P119" s="3">
        <v>186.26</v>
      </c>
      <c r="Q119" s="3">
        <v>955.98</v>
      </c>
      <c r="R119" s="2" t="s">
        <v>369</v>
      </c>
      <c r="S119" s="2" t="s">
        <v>34</v>
      </c>
      <c r="T119" s="2" t="s">
        <v>374</v>
      </c>
      <c r="U119" s="2" t="s">
        <v>36</v>
      </c>
      <c r="V119" s="2" t="s">
        <v>375</v>
      </c>
      <c r="W119" s="2">
        <v>773710</v>
      </c>
      <c r="X119" s="2"/>
      <c r="Y119" s="2"/>
      <c r="Z119">
        <v>604</v>
      </c>
      <c r="AA119" t="s">
        <v>39</v>
      </c>
    </row>
    <row r="120" spans="1:27" x14ac:dyDescent="0.25">
      <c r="A120" s="4" t="str">
        <f t="shared" si="2"/>
        <v>2111-003478</v>
      </c>
      <c r="B120" s="18" t="str">
        <f t="shared" si="3"/>
        <v>SERIE: CD8S9119- POS CONTACTLESS CHIP -  VAUCHER N° 0005852 -  OP: 003478</v>
      </c>
      <c r="C120" s="2" t="s">
        <v>25</v>
      </c>
      <c r="D120" s="2" t="s">
        <v>26</v>
      </c>
      <c r="E120" s="2" t="s">
        <v>27</v>
      </c>
      <c r="F120" s="2" t="s">
        <v>28</v>
      </c>
      <c r="G120" s="2" t="s">
        <v>337</v>
      </c>
      <c r="H120" s="2" t="s">
        <v>376</v>
      </c>
      <c r="I120" s="2" t="s">
        <v>337</v>
      </c>
      <c r="J120" s="2" t="s">
        <v>337</v>
      </c>
      <c r="K120" s="2" t="s">
        <v>368</v>
      </c>
      <c r="L120" s="2" t="s">
        <v>32</v>
      </c>
      <c r="M120" s="3">
        <v>20</v>
      </c>
      <c r="N120" s="3">
        <v>0.59</v>
      </c>
      <c r="O120" s="3">
        <v>0.11</v>
      </c>
      <c r="P120" s="3">
        <v>19.3</v>
      </c>
      <c r="Q120" s="3">
        <v>0</v>
      </c>
      <c r="R120" s="2" t="s">
        <v>369</v>
      </c>
      <c r="S120" s="2" t="s">
        <v>34</v>
      </c>
      <c r="T120" s="2" t="s">
        <v>377</v>
      </c>
      <c r="U120" s="2" t="s">
        <v>36</v>
      </c>
      <c r="V120" s="2" t="s">
        <v>378</v>
      </c>
      <c r="W120" s="2" t="s">
        <v>379</v>
      </c>
      <c r="X120" s="2"/>
      <c r="Y120" s="2"/>
      <c r="Z120">
        <v>604</v>
      </c>
      <c r="AA120" t="s">
        <v>39</v>
      </c>
    </row>
    <row r="121" spans="1:27" x14ac:dyDescent="0.25">
      <c r="A121" s="4" t="str">
        <f t="shared" si="2"/>
        <v>2111-501955</v>
      </c>
      <c r="B121" s="18" t="str">
        <f t="shared" si="3"/>
        <v>SERIE: PAYZEN- E-COMMERCE -  VAUCHER N° 7617878 -  OP: 501955</v>
      </c>
      <c r="C121" s="2" t="s">
        <v>25</v>
      </c>
      <c r="D121" s="2" t="s">
        <v>26</v>
      </c>
      <c r="E121" s="2" t="s">
        <v>61</v>
      </c>
      <c r="F121" s="2" t="s">
        <v>28</v>
      </c>
      <c r="G121" s="2" t="s">
        <v>337</v>
      </c>
      <c r="H121" s="2" t="s">
        <v>380</v>
      </c>
      <c r="I121" s="2" t="s">
        <v>337</v>
      </c>
      <c r="J121" s="2" t="s">
        <v>337</v>
      </c>
      <c r="K121" s="2" t="s">
        <v>368</v>
      </c>
      <c r="L121" s="2" t="s">
        <v>32</v>
      </c>
      <c r="M121" s="3">
        <v>96.15</v>
      </c>
      <c r="N121" s="3">
        <v>3.31</v>
      </c>
      <c r="O121" s="3">
        <v>0.6</v>
      </c>
      <c r="P121" s="3">
        <v>92.24</v>
      </c>
      <c r="Q121" s="3">
        <v>0</v>
      </c>
      <c r="R121" s="2"/>
      <c r="S121" s="2"/>
      <c r="T121" s="2">
        <v>7617878</v>
      </c>
      <c r="U121" s="2" t="s">
        <v>381</v>
      </c>
      <c r="V121" s="2" t="s">
        <v>382</v>
      </c>
      <c r="W121" s="2">
        <v>501955</v>
      </c>
      <c r="X121" s="2"/>
      <c r="Y121" s="2"/>
      <c r="Z121">
        <v>604</v>
      </c>
      <c r="AA121" t="s">
        <v>65</v>
      </c>
    </row>
    <row r="122" spans="1:27" x14ac:dyDescent="0.25">
      <c r="A122" s="4" t="str">
        <f t="shared" si="2"/>
        <v>2111-005460</v>
      </c>
      <c r="B122" s="18" t="str">
        <f t="shared" si="3"/>
        <v>SERIE: PAYZEN- POS VIRTUAL -  VAUCHER N° 7454216 -  OP: 005460</v>
      </c>
      <c r="C122" s="2" t="s">
        <v>25</v>
      </c>
      <c r="D122" s="2" t="s">
        <v>26</v>
      </c>
      <c r="E122" s="2" t="s">
        <v>66</v>
      </c>
      <c r="F122" s="2" t="s">
        <v>28</v>
      </c>
      <c r="G122" s="2" t="s">
        <v>337</v>
      </c>
      <c r="H122" s="2" t="s">
        <v>383</v>
      </c>
      <c r="I122" s="2" t="s">
        <v>337</v>
      </c>
      <c r="J122" s="2" t="s">
        <v>337</v>
      </c>
      <c r="K122" s="2" t="s">
        <v>368</v>
      </c>
      <c r="L122" s="2" t="s">
        <v>32</v>
      </c>
      <c r="M122" s="3">
        <v>222</v>
      </c>
      <c r="N122" s="3">
        <v>6.57</v>
      </c>
      <c r="O122" s="3">
        <v>1.18</v>
      </c>
      <c r="P122" s="3">
        <v>214.25</v>
      </c>
      <c r="Q122" s="3">
        <v>0</v>
      </c>
      <c r="R122" s="2"/>
      <c r="S122" s="2"/>
      <c r="T122" s="2">
        <v>7454216</v>
      </c>
      <c r="U122" s="2" t="s">
        <v>36</v>
      </c>
      <c r="V122" s="2" t="s">
        <v>384</v>
      </c>
      <c r="W122" s="2" t="s">
        <v>385</v>
      </c>
      <c r="X122" s="2"/>
      <c r="Y122" s="2"/>
      <c r="Z122">
        <v>604</v>
      </c>
      <c r="AA122" t="s">
        <v>65</v>
      </c>
    </row>
    <row r="123" spans="1:27" x14ac:dyDescent="0.25">
      <c r="A123" s="4" t="str">
        <f t="shared" si="2"/>
        <v>2111-159948</v>
      </c>
      <c r="B123" s="18" t="str">
        <f t="shared" si="3"/>
        <v>SERIE: MPP001LL3- POS QR -  VAUCHER N° 4003694 -  OP: 159948</v>
      </c>
      <c r="C123" s="2" t="s">
        <v>25</v>
      </c>
      <c r="D123" s="2" t="s">
        <v>26</v>
      </c>
      <c r="E123" s="2" t="s">
        <v>43</v>
      </c>
      <c r="F123" s="2" t="s">
        <v>28</v>
      </c>
      <c r="G123" s="2" t="s">
        <v>337</v>
      </c>
      <c r="H123" s="2" t="s">
        <v>386</v>
      </c>
      <c r="I123" s="2" t="s">
        <v>337</v>
      </c>
      <c r="J123" s="2" t="s">
        <v>337</v>
      </c>
      <c r="K123" s="2" t="s">
        <v>368</v>
      </c>
      <c r="L123" s="2" t="s">
        <v>32</v>
      </c>
      <c r="M123" s="3">
        <v>70</v>
      </c>
      <c r="N123" s="3">
        <v>2.0699999999999998</v>
      </c>
      <c r="O123" s="3">
        <v>0.37</v>
      </c>
      <c r="P123" s="3">
        <v>67.56</v>
      </c>
      <c r="Q123" s="3">
        <v>0</v>
      </c>
      <c r="R123" s="2" t="s">
        <v>369</v>
      </c>
      <c r="S123" s="2" t="s">
        <v>45</v>
      </c>
      <c r="T123" s="2">
        <v>4003694</v>
      </c>
      <c r="U123" s="2" t="s">
        <v>36</v>
      </c>
      <c r="V123" s="2" t="s">
        <v>387</v>
      </c>
      <c r="W123" s="2">
        <v>159948</v>
      </c>
      <c r="X123" s="2"/>
      <c r="Y123" s="2"/>
      <c r="Z123">
        <v>604</v>
      </c>
      <c r="AA123" t="s">
        <v>48</v>
      </c>
    </row>
    <row r="124" spans="1:27" x14ac:dyDescent="0.25">
      <c r="A124" s="4" t="str">
        <f t="shared" si="2"/>
        <v>2111-249894</v>
      </c>
      <c r="B124" s="18" t="str">
        <f t="shared" si="3"/>
        <v>SERIE: MPP001LL3- POS QR -  VAUCHER N° 7045366 -  OP: 249894</v>
      </c>
      <c r="C124" s="2" t="s">
        <v>25</v>
      </c>
      <c r="D124" s="2" t="s">
        <v>26</v>
      </c>
      <c r="E124" s="2" t="s">
        <v>43</v>
      </c>
      <c r="F124" s="2" t="s">
        <v>28</v>
      </c>
      <c r="G124" s="2" t="s">
        <v>368</v>
      </c>
      <c r="H124" s="2" t="s">
        <v>388</v>
      </c>
      <c r="I124" s="2" t="s">
        <v>389</v>
      </c>
      <c r="J124" s="2" t="s">
        <v>368</v>
      </c>
      <c r="K124" s="2" t="s">
        <v>389</v>
      </c>
      <c r="L124" s="2" t="s">
        <v>32</v>
      </c>
      <c r="M124" s="3">
        <v>35</v>
      </c>
      <c r="N124" s="3">
        <v>1.04</v>
      </c>
      <c r="O124" s="3">
        <v>0.19</v>
      </c>
      <c r="P124" s="3">
        <v>33.770000000000003</v>
      </c>
      <c r="Q124" s="3">
        <v>0</v>
      </c>
      <c r="R124" s="2" t="s">
        <v>390</v>
      </c>
      <c r="S124" s="2" t="s">
        <v>45</v>
      </c>
      <c r="T124" s="2">
        <v>7045366</v>
      </c>
      <c r="U124" s="2" t="s">
        <v>36</v>
      </c>
      <c r="V124" s="2" t="s">
        <v>391</v>
      </c>
      <c r="W124" s="2">
        <v>249894</v>
      </c>
      <c r="X124" s="2"/>
      <c r="Y124" s="2"/>
      <c r="Z124">
        <v>604</v>
      </c>
      <c r="AA124" t="s">
        <v>48</v>
      </c>
    </row>
    <row r="125" spans="1:27" x14ac:dyDescent="0.25">
      <c r="A125" s="4" t="str">
        <f t="shared" si="2"/>
        <v>2111-115301</v>
      </c>
      <c r="B125" s="18" t="str">
        <f t="shared" si="3"/>
        <v>SERIE: MPP001LL3- POS QR -  VAUCHER N° 2025852 -  OP: 115301</v>
      </c>
      <c r="C125" s="2" t="s">
        <v>25</v>
      </c>
      <c r="D125" s="2" t="s">
        <v>26</v>
      </c>
      <c r="E125" s="2" t="s">
        <v>43</v>
      </c>
      <c r="F125" s="2" t="s">
        <v>28</v>
      </c>
      <c r="G125" s="2" t="s">
        <v>368</v>
      </c>
      <c r="H125" s="2" t="s">
        <v>392</v>
      </c>
      <c r="I125" s="2" t="s">
        <v>389</v>
      </c>
      <c r="J125" s="2" t="s">
        <v>368</v>
      </c>
      <c r="K125" s="2" t="s">
        <v>389</v>
      </c>
      <c r="L125" s="2" t="s">
        <v>32</v>
      </c>
      <c r="M125" s="3">
        <v>58</v>
      </c>
      <c r="N125" s="3">
        <v>1.72</v>
      </c>
      <c r="O125" s="3">
        <v>0.31</v>
      </c>
      <c r="P125" s="3">
        <v>55.97</v>
      </c>
      <c r="Q125" s="3">
        <v>0</v>
      </c>
      <c r="R125" s="2" t="s">
        <v>390</v>
      </c>
      <c r="S125" s="2" t="s">
        <v>45</v>
      </c>
      <c r="T125" s="2">
        <v>2025852</v>
      </c>
      <c r="U125" s="2" t="s">
        <v>36</v>
      </c>
      <c r="V125" s="2" t="s">
        <v>393</v>
      </c>
      <c r="W125" s="2">
        <v>115301</v>
      </c>
      <c r="X125" s="2"/>
      <c r="Y125" s="2"/>
      <c r="Z125">
        <v>604</v>
      </c>
      <c r="AA125" t="s">
        <v>48</v>
      </c>
    </row>
    <row r="126" spans="1:27" x14ac:dyDescent="0.25">
      <c r="A126" s="4" t="str">
        <f t="shared" si="2"/>
        <v>2111-055936</v>
      </c>
      <c r="B126" s="18" t="str">
        <f t="shared" si="3"/>
        <v>SERIE: MPP001LL3- POS QR -  VAUCHER N° 9032706 -  OP: 055936</v>
      </c>
      <c r="C126" s="2" t="s">
        <v>25</v>
      </c>
      <c r="D126" s="2" t="s">
        <v>26</v>
      </c>
      <c r="E126" s="2" t="s">
        <v>43</v>
      </c>
      <c r="F126" s="2" t="s">
        <v>28</v>
      </c>
      <c r="G126" s="2" t="s">
        <v>368</v>
      </c>
      <c r="H126" s="2" t="s">
        <v>394</v>
      </c>
      <c r="I126" s="2" t="s">
        <v>389</v>
      </c>
      <c r="J126" s="2" t="s">
        <v>368</v>
      </c>
      <c r="K126" s="2" t="s">
        <v>389</v>
      </c>
      <c r="L126" s="2" t="s">
        <v>32</v>
      </c>
      <c r="M126" s="3">
        <v>60</v>
      </c>
      <c r="N126" s="3">
        <v>1.78</v>
      </c>
      <c r="O126" s="3">
        <v>0.32</v>
      </c>
      <c r="P126" s="3">
        <v>57.9</v>
      </c>
      <c r="Q126" s="3">
        <v>0</v>
      </c>
      <c r="R126" s="2" t="s">
        <v>390</v>
      </c>
      <c r="S126" s="2" t="s">
        <v>45</v>
      </c>
      <c r="T126" s="2">
        <v>9032706</v>
      </c>
      <c r="U126" s="2" t="s">
        <v>36</v>
      </c>
      <c r="V126" s="2" t="s">
        <v>395</v>
      </c>
      <c r="W126" s="2" t="s">
        <v>396</v>
      </c>
      <c r="X126" s="2"/>
      <c r="Y126" s="2"/>
      <c r="Z126">
        <v>604</v>
      </c>
      <c r="AA126" t="s">
        <v>48</v>
      </c>
    </row>
    <row r="127" spans="1:27" x14ac:dyDescent="0.25">
      <c r="A127" s="4" t="str">
        <f t="shared" si="2"/>
        <v>2111-034130</v>
      </c>
      <c r="B127" s="18" t="str">
        <f t="shared" si="3"/>
        <v>SERIE: CD8S9119- POS CONTACTLESS CHIP -  VAUCHER N° 0005890 -  OP: 034130</v>
      </c>
      <c r="C127" s="2" t="s">
        <v>25</v>
      </c>
      <c r="D127" s="2" t="s">
        <v>26</v>
      </c>
      <c r="E127" s="2" t="s">
        <v>27</v>
      </c>
      <c r="F127" s="2" t="s">
        <v>28</v>
      </c>
      <c r="G127" s="2" t="s">
        <v>368</v>
      </c>
      <c r="H127" s="2" t="s">
        <v>397</v>
      </c>
      <c r="I127" s="2" t="s">
        <v>368</v>
      </c>
      <c r="J127" s="2" t="s">
        <v>368</v>
      </c>
      <c r="K127" s="2" t="s">
        <v>389</v>
      </c>
      <c r="L127" s="2" t="s">
        <v>32</v>
      </c>
      <c r="M127" s="3">
        <v>67.5</v>
      </c>
      <c r="N127" s="3">
        <v>2</v>
      </c>
      <c r="O127" s="3">
        <v>0.36</v>
      </c>
      <c r="P127" s="3">
        <v>65.14</v>
      </c>
      <c r="Q127" s="3">
        <v>565.02</v>
      </c>
      <c r="R127" s="2" t="s">
        <v>390</v>
      </c>
      <c r="S127" s="2" t="s">
        <v>34</v>
      </c>
      <c r="T127" s="2" t="s">
        <v>398</v>
      </c>
      <c r="U127" s="2" t="s">
        <v>36</v>
      </c>
      <c r="V127" s="2" t="s">
        <v>399</v>
      </c>
      <c r="W127" s="2" t="s">
        <v>400</v>
      </c>
      <c r="X127" s="2"/>
      <c r="Y127" s="2"/>
      <c r="Z127">
        <v>604</v>
      </c>
      <c r="AA127" t="s">
        <v>39</v>
      </c>
    </row>
    <row r="128" spans="1:27" x14ac:dyDescent="0.25">
      <c r="A128" s="4" t="str">
        <f t="shared" si="2"/>
        <v>2111-173894</v>
      </c>
      <c r="B128" s="18" t="str">
        <f t="shared" si="3"/>
        <v>SERIE: MPP001LL3- POS QR -  VAUCHER N° 4034372 -  OP: 173894</v>
      </c>
      <c r="C128" s="2" t="s">
        <v>25</v>
      </c>
      <c r="D128" s="2" t="s">
        <v>26</v>
      </c>
      <c r="E128" s="2" t="s">
        <v>43</v>
      </c>
      <c r="F128" s="2" t="s">
        <v>28</v>
      </c>
      <c r="G128" s="2" t="s">
        <v>368</v>
      </c>
      <c r="H128" s="2" t="s">
        <v>401</v>
      </c>
      <c r="I128" s="2" t="s">
        <v>389</v>
      </c>
      <c r="J128" s="2" t="s">
        <v>368</v>
      </c>
      <c r="K128" s="2" t="s">
        <v>389</v>
      </c>
      <c r="L128" s="2" t="s">
        <v>32</v>
      </c>
      <c r="M128" s="3">
        <v>80</v>
      </c>
      <c r="N128" s="3">
        <v>2.37</v>
      </c>
      <c r="O128" s="3">
        <v>0.43</v>
      </c>
      <c r="P128" s="3">
        <v>77.2</v>
      </c>
      <c r="Q128" s="3">
        <v>0</v>
      </c>
      <c r="R128" s="2" t="s">
        <v>390</v>
      </c>
      <c r="S128" s="2" t="s">
        <v>45</v>
      </c>
      <c r="T128" s="2">
        <v>4034372</v>
      </c>
      <c r="U128" s="2" t="s">
        <v>36</v>
      </c>
      <c r="V128" s="2" t="s">
        <v>402</v>
      </c>
      <c r="W128" s="2">
        <v>173894</v>
      </c>
      <c r="X128" s="2"/>
      <c r="Y128" s="2"/>
      <c r="Z128">
        <v>604</v>
      </c>
      <c r="AA128" t="s">
        <v>48</v>
      </c>
    </row>
    <row r="129" spans="1:27" x14ac:dyDescent="0.25">
      <c r="A129" s="4" t="str">
        <f t="shared" si="2"/>
        <v>2111-232873</v>
      </c>
      <c r="B129" s="18" t="str">
        <f t="shared" si="3"/>
        <v>SERIE: MPP001LL3- POS QR -  VAUCHER N° 7010644 -  OP: 232873</v>
      </c>
      <c r="C129" s="2" t="s">
        <v>25</v>
      </c>
      <c r="D129" s="2" t="s">
        <v>26</v>
      </c>
      <c r="E129" s="2" t="s">
        <v>43</v>
      </c>
      <c r="F129" s="2" t="s">
        <v>28</v>
      </c>
      <c r="G129" s="2" t="s">
        <v>368</v>
      </c>
      <c r="H129" s="2" t="s">
        <v>403</v>
      </c>
      <c r="I129" s="2" t="s">
        <v>389</v>
      </c>
      <c r="J129" s="2" t="s">
        <v>368</v>
      </c>
      <c r="K129" s="2" t="s">
        <v>389</v>
      </c>
      <c r="L129" s="2" t="s">
        <v>32</v>
      </c>
      <c r="M129" s="3">
        <v>180</v>
      </c>
      <c r="N129" s="3">
        <v>5.33</v>
      </c>
      <c r="O129" s="3">
        <v>0.96</v>
      </c>
      <c r="P129" s="3">
        <v>173.71</v>
      </c>
      <c r="Q129" s="3">
        <v>0</v>
      </c>
      <c r="R129" s="2" t="s">
        <v>390</v>
      </c>
      <c r="S129" s="2" t="s">
        <v>45</v>
      </c>
      <c r="T129" s="2">
        <v>7010644</v>
      </c>
      <c r="U129" s="2" t="s">
        <v>36</v>
      </c>
      <c r="V129" s="2" t="s">
        <v>404</v>
      </c>
      <c r="W129" s="2">
        <v>232873</v>
      </c>
      <c r="X129" s="2"/>
      <c r="Y129" s="2"/>
      <c r="Z129">
        <v>604</v>
      </c>
      <c r="AA129" t="s">
        <v>48</v>
      </c>
    </row>
    <row r="130" spans="1:27" x14ac:dyDescent="0.25">
      <c r="A130" s="4" t="str">
        <f t="shared" si="2"/>
        <v>2111-103199</v>
      </c>
      <c r="B130" s="18" t="str">
        <f t="shared" si="3"/>
        <v>SERIE: MPP001LL3- POS QR -  VAUCHER N° 2001009 -  OP: 103199</v>
      </c>
      <c r="C130" s="2" t="s">
        <v>25</v>
      </c>
      <c r="D130" s="2" t="s">
        <v>26</v>
      </c>
      <c r="E130" s="2" t="s">
        <v>43</v>
      </c>
      <c r="F130" s="2" t="s">
        <v>28</v>
      </c>
      <c r="G130" s="2" t="s">
        <v>368</v>
      </c>
      <c r="H130" s="2" t="s">
        <v>405</v>
      </c>
      <c r="I130" s="2" t="s">
        <v>389</v>
      </c>
      <c r="J130" s="2" t="s">
        <v>368</v>
      </c>
      <c r="K130" s="2" t="s">
        <v>389</v>
      </c>
      <c r="L130" s="2" t="s">
        <v>32</v>
      </c>
      <c r="M130" s="3">
        <v>105</v>
      </c>
      <c r="N130" s="3">
        <v>3.11</v>
      </c>
      <c r="O130" s="3">
        <v>0.56000000000000005</v>
      </c>
      <c r="P130" s="3">
        <v>101.33</v>
      </c>
      <c r="Q130" s="3">
        <v>0</v>
      </c>
      <c r="R130" s="2" t="s">
        <v>390</v>
      </c>
      <c r="S130" s="2" t="s">
        <v>45</v>
      </c>
      <c r="T130" s="2">
        <v>2001009</v>
      </c>
      <c r="U130" s="2" t="s">
        <v>36</v>
      </c>
      <c r="V130" s="2" t="s">
        <v>406</v>
      </c>
      <c r="W130" s="2">
        <v>103199</v>
      </c>
      <c r="X130" s="2"/>
      <c r="Y130" s="2"/>
      <c r="Z130">
        <v>604</v>
      </c>
      <c r="AA130" t="s">
        <v>48</v>
      </c>
    </row>
    <row r="131" spans="1:27" x14ac:dyDescent="0.25">
      <c r="A131" s="4" t="str">
        <f>CONCATENATE(RIGHT(C131,4),"-",W131)</f>
        <v>2111-267301</v>
      </c>
      <c r="B131" s="18" t="str">
        <f t="shared" ref="B131:B194" si="4">CONCATENATE("SERIE: ",AA131, "- ",E131," - "," VAUCHER N° ",T131,  " -  OP: ",W131)</f>
        <v>SERIE: MPP001LL3- POS QR -  VAUCHER N° 8017665 -  OP: 267301</v>
      </c>
      <c r="C131" s="2" t="s">
        <v>25</v>
      </c>
      <c r="D131" s="2" t="s">
        <v>26</v>
      </c>
      <c r="E131" s="2" t="s">
        <v>43</v>
      </c>
      <c r="F131" s="2" t="s">
        <v>28</v>
      </c>
      <c r="G131" s="2" t="s">
        <v>389</v>
      </c>
      <c r="H131" s="2" t="s">
        <v>407</v>
      </c>
      <c r="I131" s="2" t="s">
        <v>389</v>
      </c>
      <c r="J131" s="2" t="s">
        <v>389</v>
      </c>
      <c r="K131" s="2" t="s">
        <v>408</v>
      </c>
      <c r="L131" s="2" t="s">
        <v>32</v>
      </c>
      <c r="M131" s="3">
        <v>20</v>
      </c>
      <c r="N131" s="3">
        <v>0.59</v>
      </c>
      <c r="O131" s="3">
        <v>0.11</v>
      </c>
      <c r="P131" s="3">
        <v>19.3</v>
      </c>
      <c r="Q131" s="3">
        <v>19.3</v>
      </c>
      <c r="R131" s="2" t="s">
        <v>409</v>
      </c>
      <c r="S131" s="2" t="s">
        <v>45</v>
      </c>
      <c r="T131" s="2">
        <v>8017665</v>
      </c>
      <c r="U131" s="2" t="s">
        <v>36</v>
      </c>
      <c r="V131" s="2" t="s">
        <v>410</v>
      </c>
      <c r="W131" s="2">
        <v>267301</v>
      </c>
      <c r="X131" s="2"/>
      <c r="Y131" s="2"/>
      <c r="Z131">
        <v>604</v>
      </c>
      <c r="AA131" t="s">
        <v>48</v>
      </c>
    </row>
    <row r="132" spans="1:27" x14ac:dyDescent="0.25">
      <c r="A132" s="4" t="str">
        <f>CONCATENATE(RIGHT(C132,4),"-",W132)</f>
        <v>2111-069760</v>
      </c>
      <c r="B132" s="18" t="str">
        <f t="shared" si="4"/>
        <v>SERIE: MPP001LL3- POS QR -  VAUCHER N° 0012566 -  OP: 069760</v>
      </c>
      <c r="C132" s="2" t="s">
        <v>25</v>
      </c>
      <c r="D132" s="2" t="s">
        <v>26</v>
      </c>
      <c r="E132" s="2" t="s">
        <v>43</v>
      </c>
      <c r="F132" s="2" t="s">
        <v>28</v>
      </c>
      <c r="G132" s="2" t="s">
        <v>408</v>
      </c>
      <c r="H132" s="2" t="s">
        <v>411</v>
      </c>
      <c r="I132" s="2" t="s">
        <v>408</v>
      </c>
      <c r="J132" s="2" t="s">
        <v>408</v>
      </c>
      <c r="K132" s="2" t="s">
        <v>412</v>
      </c>
      <c r="L132" s="2" t="s">
        <v>32</v>
      </c>
      <c r="M132" s="3">
        <v>65</v>
      </c>
      <c r="N132" s="3">
        <v>1.92</v>
      </c>
      <c r="O132" s="3">
        <v>0.35</v>
      </c>
      <c r="P132" s="3">
        <v>62.73</v>
      </c>
      <c r="Q132" s="3">
        <v>337.76</v>
      </c>
      <c r="R132" s="2" t="s">
        <v>413</v>
      </c>
      <c r="S132" s="2" t="s">
        <v>45</v>
      </c>
      <c r="T132" s="2" t="s">
        <v>414</v>
      </c>
      <c r="U132" s="2" t="s">
        <v>36</v>
      </c>
      <c r="V132" s="2" t="s">
        <v>80</v>
      </c>
      <c r="W132" s="2" t="s">
        <v>415</v>
      </c>
      <c r="X132" s="2"/>
      <c r="Y132" s="2"/>
      <c r="Z132">
        <v>604</v>
      </c>
      <c r="AA132" t="s">
        <v>48</v>
      </c>
    </row>
    <row r="133" spans="1:27" x14ac:dyDescent="0.25">
      <c r="A133" s="4" t="str">
        <f>CONCATENATE(RIGHT(C133,4),"-",W133)</f>
        <v>2111-253020</v>
      </c>
      <c r="B133" s="18" t="str">
        <f t="shared" si="4"/>
        <v>SERIE: MPP001LL3- POS QR -  VAUCHER N° 7023276 -  OP: 253020</v>
      </c>
      <c r="C133" s="2" t="s">
        <v>25</v>
      </c>
      <c r="D133" s="2" t="s">
        <v>26</v>
      </c>
      <c r="E133" s="2" t="s">
        <v>43</v>
      </c>
      <c r="F133" s="2" t="s">
        <v>28</v>
      </c>
      <c r="G133" s="2" t="s">
        <v>408</v>
      </c>
      <c r="H133" s="2" t="s">
        <v>416</v>
      </c>
      <c r="I133" s="2" t="s">
        <v>408</v>
      </c>
      <c r="J133" s="2" t="s">
        <v>408</v>
      </c>
      <c r="K133" s="2" t="s">
        <v>412</v>
      </c>
      <c r="L133" s="2" t="s">
        <v>32</v>
      </c>
      <c r="M133" s="3">
        <v>45</v>
      </c>
      <c r="N133" s="3">
        <v>1.33</v>
      </c>
      <c r="O133" s="3">
        <v>0.24</v>
      </c>
      <c r="P133" s="3">
        <v>43.43</v>
      </c>
      <c r="Q133" s="3">
        <v>0</v>
      </c>
      <c r="R133" s="2" t="s">
        <v>413</v>
      </c>
      <c r="S133" s="2" t="s">
        <v>45</v>
      </c>
      <c r="T133" s="2">
        <v>7023276</v>
      </c>
      <c r="U133" s="2" t="s">
        <v>36</v>
      </c>
      <c r="V133" s="2" t="s">
        <v>417</v>
      </c>
      <c r="W133" s="2">
        <v>253020</v>
      </c>
      <c r="X133" s="2"/>
      <c r="Y133" s="2"/>
      <c r="Z133">
        <v>604</v>
      </c>
      <c r="AA133" t="s">
        <v>48</v>
      </c>
    </row>
    <row r="134" spans="1:27" x14ac:dyDescent="0.25">
      <c r="A134" s="4" t="str">
        <f>CONCATENATE(RIGHT(C134,4),"-",W134)</f>
        <v>2111-263253</v>
      </c>
      <c r="B134" s="18" t="str">
        <f t="shared" si="4"/>
        <v>SERIE: MPP001LL3- POS QR -  VAUCHER N° 7044312 -  OP: 263253</v>
      </c>
      <c r="C134" s="2" t="s">
        <v>25</v>
      </c>
      <c r="D134" s="2" t="s">
        <v>26</v>
      </c>
      <c r="E134" s="2" t="s">
        <v>43</v>
      </c>
      <c r="F134" s="2" t="s">
        <v>28</v>
      </c>
      <c r="G134" s="2" t="s">
        <v>408</v>
      </c>
      <c r="H134" s="2" t="s">
        <v>418</v>
      </c>
      <c r="I134" s="2" t="s">
        <v>408</v>
      </c>
      <c r="J134" s="2" t="s">
        <v>408</v>
      </c>
      <c r="K134" s="2" t="s">
        <v>412</v>
      </c>
      <c r="L134" s="2" t="s">
        <v>32</v>
      </c>
      <c r="M134" s="3">
        <v>110</v>
      </c>
      <c r="N134" s="3">
        <v>3.26</v>
      </c>
      <c r="O134" s="3">
        <v>0.59</v>
      </c>
      <c r="P134" s="3">
        <v>106.15</v>
      </c>
      <c r="Q134" s="3">
        <v>0</v>
      </c>
      <c r="R134" s="2" t="s">
        <v>413</v>
      </c>
      <c r="S134" s="2" t="s">
        <v>45</v>
      </c>
      <c r="T134" s="2">
        <v>7044312</v>
      </c>
      <c r="U134" s="2" t="s">
        <v>36</v>
      </c>
      <c r="V134" s="2" t="s">
        <v>80</v>
      </c>
      <c r="W134" s="2">
        <v>263253</v>
      </c>
      <c r="X134" s="2"/>
      <c r="Y134" s="2"/>
      <c r="Z134">
        <v>604</v>
      </c>
      <c r="AA134" t="s">
        <v>48</v>
      </c>
    </row>
    <row r="135" spans="1:27" x14ac:dyDescent="0.25">
      <c r="A135" s="4" t="str">
        <f>CONCATENATE(RIGHT(C135,4),"-",W135)</f>
        <v>2111-130533</v>
      </c>
      <c r="B135" s="18" t="str">
        <f t="shared" si="4"/>
        <v>SERIE: MPP001LL3- POS QR -  VAUCHER N° 2042765 -  OP: 130533</v>
      </c>
      <c r="C135" s="2" t="s">
        <v>25</v>
      </c>
      <c r="D135" s="2" t="s">
        <v>26</v>
      </c>
      <c r="E135" s="2" t="s">
        <v>43</v>
      </c>
      <c r="F135" s="2" t="s">
        <v>28</v>
      </c>
      <c r="G135" s="2" t="s">
        <v>408</v>
      </c>
      <c r="H135" s="2" t="s">
        <v>419</v>
      </c>
      <c r="I135" s="2" t="s">
        <v>408</v>
      </c>
      <c r="J135" s="2" t="s">
        <v>408</v>
      </c>
      <c r="K135" s="2" t="s">
        <v>412</v>
      </c>
      <c r="L135" s="2" t="s">
        <v>32</v>
      </c>
      <c r="M135" s="3">
        <v>35</v>
      </c>
      <c r="N135" s="3">
        <v>1.04</v>
      </c>
      <c r="O135" s="3">
        <v>0.19</v>
      </c>
      <c r="P135" s="3">
        <v>33.770000000000003</v>
      </c>
      <c r="Q135" s="3">
        <v>0</v>
      </c>
      <c r="R135" s="2" t="s">
        <v>413</v>
      </c>
      <c r="S135" s="2" t="s">
        <v>45</v>
      </c>
      <c r="T135" s="2">
        <v>2042765</v>
      </c>
      <c r="U135" s="2" t="s">
        <v>36</v>
      </c>
      <c r="V135" s="2" t="s">
        <v>420</v>
      </c>
      <c r="W135" s="2">
        <v>130533</v>
      </c>
      <c r="X135" s="2"/>
      <c r="Y135" s="2"/>
      <c r="Z135">
        <v>604</v>
      </c>
      <c r="AA135" t="s">
        <v>48</v>
      </c>
    </row>
    <row r="136" spans="1:27" x14ac:dyDescent="0.25">
      <c r="A136" s="4" t="str">
        <f>CONCATENATE(RIGHT(C136,4),"-",W136)</f>
        <v>2111-213474</v>
      </c>
      <c r="B136" s="18" t="str">
        <f t="shared" si="4"/>
        <v>SERIE: MPP001LL3- POS QR -  VAUCHER N° 5044564 -  OP: 213474</v>
      </c>
      <c r="C136" s="2" t="s">
        <v>25</v>
      </c>
      <c r="D136" s="2" t="s">
        <v>26</v>
      </c>
      <c r="E136" s="2" t="s">
        <v>43</v>
      </c>
      <c r="F136" s="2" t="s">
        <v>28</v>
      </c>
      <c r="G136" s="2" t="s">
        <v>408</v>
      </c>
      <c r="H136" s="2" t="s">
        <v>421</v>
      </c>
      <c r="I136" s="2" t="s">
        <v>408</v>
      </c>
      <c r="J136" s="2" t="s">
        <v>408</v>
      </c>
      <c r="K136" s="2" t="s">
        <v>412</v>
      </c>
      <c r="L136" s="2" t="s">
        <v>32</v>
      </c>
      <c r="M136" s="3">
        <v>95</v>
      </c>
      <c r="N136" s="3">
        <v>2.81</v>
      </c>
      <c r="O136" s="3">
        <v>0.51</v>
      </c>
      <c r="P136" s="3">
        <v>91.68</v>
      </c>
      <c r="Q136" s="3">
        <v>0</v>
      </c>
      <c r="R136" s="2" t="s">
        <v>413</v>
      </c>
      <c r="S136" s="2" t="s">
        <v>45</v>
      </c>
      <c r="T136" s="2">
        <v>5044564</v>
      </c>
      <c r="U136" s="2" t="s">
        <v>36</v>
      </c>
      <c r="V136" s="2" t="s">
        <v>334</v>
      </c>
      <c r="W136" s="2">
        <v>213474</v>
      </c>
      <c r="X136" s="2"/>
      <c r="Y136" s="2"/>
      <c r="Z136">
        <v>604</v>
      </c>
      <c r="AA136" t="s">
        <v>48</v>
      </c>
    </row>
    <row r="137" spans="1:27" x14ac:dyDescent="0.25">
      <c r="A137" s="4" t="str">
        <f>CONCATENATE(RIGHT(C137,4),"-",W137)</f>
        <v>2111-</v>
      </c>
      <c r="B137" s="18" t="str">
        <f t="shared" si="4"/>
        <v xml:space="preserve">SERIE: - No Especificado -  VAUCHER N°  -  OP: </v>
      </c>
      <c r="C137" s="2" t="s">
        <v>25</v>
      </c>
      <c r="D137" s="2" t="s">
        <v>422</v>
      </c>
      <c r="E137" s="2" t="s">
        <v>423</v>
      </c>
      <c r="F137" s="2" t="s">
        <v>423</v>
      </c>
      <c r="G137" s="2" t="s">
        <v>424</v>
      </c>
      <c r="H137" s="2" t="s">
        <v>425</v>
      </c>
      <c r="I137" s="2" t="s">
        <v>424</v>
      </c>
      <c r="J137" s="2" t="s">
        <v>424</v>
      </c>
      <c r="K137" s="2" t="s">
        <v>424</v>
      </c>
      <c r="L137" s="2"/>
      <c r="M137" s="3">
        <v>-1</v>
      </c>
      <c r="N137" s="3">
        <v>0</v>
      </c>
      <c r="O137" s="3">
        <v>0</v>
      </c>
      <c r="P137" s="3">
        <v>-1</v>
      </c>
      <c r="Q137" s="3">
        <v>0</v>
      </c>
      <c r="R137" s="2"/>
      <c r="S137" s="2"/>
      <c r="T137" s="2"/>
      <c r="U137" s="2" t="s">
        <v>423</v>
      </c>
      <c r="V137" s="2" t="s">
        <v>426</v>
      </c>
      <c r="W137" s="2"/>
      <c r="X137" s="2"/>
      <c r="Y137" s="2"/>
      <c r="Z137">
        <v>604</v>
      </c>
    </row>
    <row r="138" spans="1:27" x14ac:dyDescent="0.25">
      <c r="A138" s="4" t="str">
        <f t="shared" ref="A138:A201" si="5">CONCATENATE(RIGHT(C138,4),"-",W138)</f>
        <v>DIGO-CODIGO DE AUTORIZACION</v>
      </c>
      <c r="B138" s="18" t="str">
        <f t="shared" si="4"/>
        <v>SERIE: SERIE TERMINAL- TIPO DE CAPTURA -  VAUCHER N° NUM DE REF (VOUCHER) -  OP: CODIGO DE AUTORIZACION</v>
      </c>
      <c r="C138" s="1" t="s">
        <v>0</v>
      </c>
      <c r="D138" s="1" t="s">
        <v>1</v>
      </c>
      <c r="E138" s="1" t="s">
        <v>2</v>
      </c>
      <c r="F138" s="1" t="s">
        <v>3</v>
      </c>
      <c r="G138" s="1" t="s">
        <v>4</v>
      </c>
      <c r="H138" s="1" t="s">
        <v>5</v>
      </c>
      <c r="I138" s="1" t="s">
        <v>6</v>
      </c>
      <c r="J138" s="1" t="s">
        <v>7</v>
      </c>
      <c r="K138" s="1" t="s">
        <v>8</v>
      </c>
      <c r="L138" s="1" t="s">
        <v>9</v>
      </c>
      <c r="M138" s="1" t="s">
        <v>10</v>
      </c>
      <c r="N138" s="1" t="s">
        <v>11</v>
      </c>
      <c r="O138" s="1" t="s">
        <v>12</v>
      </c>
      <c r="P138" s="1" t="s">
        <v>13</v>
      </c>
      <c r="Q138" s="1" t="s">
        <v>14</v>
      </c>
      <c r="R138" s="1" t="s">
        <v>15</v>
      </c>
      <c r="S138" s="1" t="s">
        <v>16</v>
      </c>
      <c r="T138" s="1" t="s">
        <v>17</v>
      </c>
      <c r="U138" s="1" t="s">
        <v>18</v>
      </c>
      <c r="V138" s="1" t="s">
        <v>19</v>
      </c>
      <c r="W138" s="1" t="s">
        <v>20</v>
      </c>
      <c r="X138" s="1" t="s">
        <v>21</v>
      </c>
      <c r="Y138" s="1" t="s">
        <v>22</v>
      </c>
      <c r="Z138" s="1" t="s">
        <v>23</v>
      </c>
      <c r="AA138" s="1" t="s">
        <v>24</v>
      </c>
    </row>
    <row r="139" spans="1:27" x14ac:dyDescent="0.25">
      <c r="A139" s="4" t="str">
        <f t="shared" si="5"/>
        <v>2121-672333</v>
      </c>
      <c r="B139" s="18" t="str">
        <f t="shared" si="4"/>
        <v>SERIE: CD8R8313- POS CONTACTLESS CHIP -  VAUCHER N° 0000359 -  OP: 672333</v>
      </c>
      <c r="C139" s="2" t="s">
        <v>428</v>
      </c>
      <c r="D139" s="2" t="s">
        <v>26</v>
      </c>
      <c r="E139" s="2" t="s">
        <v>27</v>
      </c>
      <c r="F139" s="2" t="s">
        <v>28</v>
      </c>
      <c r="G139" s="2" t="s">
        <v>29</v>
      </c>
      <c r="H139" s="2" t="s">
        <v>429</v>
      </c>
      <c r="I139" s="2" t="s">
        <v>29</v>
      </c>
      <c r="J139" s="2" t="s">
        <v>29</v>
      </c>
      <c r="K139" s="2" t="s">
        <v>31</v>
      </c>
      <c r="L139" s="2" t="s">
        <v>32</v>
      </c>
      <c r="M139" s="3">
        <v>240</v>
      </c>
      <c r="N139" s="3">
        <v>7.1</v>
      </c>
      <c r="O139" s="3">
        <v>1.28</v>
      </c>
      <c r="P139" s="3">
        <v>231.62</v>
      </c>
      <c r="Q139" s="3">
        <v>265.39</v>
      </c>
      <c r="R139" s="2" t="s">
        <v>430</v>
      </c>
      <c r="S139" s="2" t="s">
        <v>34</v>
      </c>
      <c r="T139" s="2" t="s">
        <v>431</v>
      </c>
      <c r="U139" s="2" t="s">
        <v>36</v>
      </c>
      <c r="V139" s="2" t="s">
        <v>432</v>
      </c>
      <c r="W139" s="2">
        <v>672333</v>
      </c>
      <c r="X139" s="2"/>
      <c r="Y139" s="2"/>
      <c r="Z139">
        <v>604</v>
      </c>
      <c r="AA139" t="s">
        <v>433</v>
      </c>
    </row>
    <row r="140" spans="1:27" x14ac:dyDescent="0.25">
      <c r="A140" s="4" t="str">
        <f t="shared" si="5"/>
        <v>2121-088607</v>
      </c>
      <c r="B140" s="18" t="str">
        <f t="shared" si="4"/>
        <v>SERIE: MPP001LL3- POS QR -  VAUCHER N° 2016275 -  OP: 088607</v>
      </c>
      <c r="C140" s="2" t="s">
        <v>428</v>
      </c>
      <c r="D140" s="2" t="s">
        <v>26</v>
      </c>
      <c r="E140" s="2" t="s">
        <v>43</v>
      </c>
      <c r="F140" s="2" t="s">
        <v>28</v>
      </c>
      <c r="G140" s="2" t="s">
        <v>29</v>
      </c>
      <c r="H140" s="2" t="s">
        <v>434</v>
      </c>
      <c r="I140" s="2" t="s">
        <v>29</v>
      </c>
      <c r="J140" s="2" t="s">
        <v>29</v>
      </c>
      <c r="K140" s="2" t="s">
        <v>31</v>
      </c>
      <c r="L140" s="2" t="s">
        <v>32</v>
      </c>
      <c r="M140" s="3">
        <v>35</v>
      </c>
      <c r="N140" s="3">
        <v>1.04</v>
      </c>
      <c r="O140" s="3">
        <v>0.19</v>
      </c>
      <c r="P140" s="3">
        <v>33.770000000000003</v>
      </c>
      <c r="Q140" s="3">
        <v>0</v>
      </c>
      <c r="R140" s="2" t="s">
        <v>430</v>
      </c>
      <c r="S140" s="2" t="s">
        <v>45</v>
      </c>
      <c r="T140" s="2">
        <v>2016275</v>
      </c>
      <c r="U140" s="2" t="s">
        <v>36</v>
      </c>
      <c r="V140" s="2" t="s">
        <v>435</v>
      </c>
      <c r="W140" s="2" t="s">
        <v>436</v>
      </c>
      <c r="X140" s="2"/>
      <c r="Y140" s="2"/>
      <c r="Z140">
        <v>604</v>
      </c>
      <c r="AA140" t="s">
        <v>48</v>
      </c>
    </row>
    <row r="141" spans="1:27" x14ac:dyDescent="0.25">
      <c r="A141" s="4" t="str">
        <f t="shared" si="5"/>
        <v>2121-730874</v>
      </c>
      <c r="B141" s="18" t="str">
        <f t="shared" si="4"/>
        <v>SERIE: CD8R8313- POS CONTACTLESS CHIP -  VAUCHER N° 0000384 -  OP: 730874</v>
      </c>
      <c r="C141" s="2" t="s">
        <v>428</v>
      </c>
      <c r="D141" s="2" t="s">
        <v>26</v>
      </c>
      <c r="E141" s="2" t="s">
        <v>27</v>
      </c>
      <c r="F141" s="2" t="s">
        <v>28</v>
      </c>
      <c r="G141" s="2" t="s">
        <v>31</v>
      </c>
      <c r="H141" s="2" t="s">
        <v>437</v>
      </c>
      <c r="I141" s="2" t="s">
        <v>31</v>
      </c>
      <c r="J141" s="2" t="s">
        <v>31</v>
      </c>
      <c r="K141" s="2" t="s">
        <v>50</v>
      </c>
      <c r="L141" s="2" t="s">
        <v>32</v>
      </c>
      <c r="M141" s="3">
        <v>150</v>
      </c>
      <c r="N141" s="3">
        <v>4.4400000000000004</v>
      </c>
      <c r="O141" s="3">
        <v>0.8</v>
      </c>
      <c r="P141" s="3">
        <v>144.76</v>
      </c>
      <c r="Q141" s="3">
        <v>913.94</v>
      </c>
      <c r="R141" s="2" t="s">
        <v>438</v>
      </c>
      <c r="S141" s="2" t="s">
        <v>34</v>
      </c>
      <c r="T141" s="2" t="s">
        <v>439</v>
      </c>
      <c r="U141" s="2" t="s">
        <v>36</v>
      </c>
      <c r="V141" s="2" t="s">
        <v>440</v>
      </c>
      <c r="W141" s="2">
        <v>730874</v>
      </c>
      <c r="X141" s="2"/>
      <c r="Y141" s="2"/>
      <c r="Z141">
        <v>604</v>
      </c>
      <c r="AA141" t="s">
        <v>433</v>
      </c>
    </row>
    <row r="142" spans="1:27" x14ac:dyDescent="0.25">
      <c r="A142" s="4" t="str">
        <f t="shared" si="5"/>
        <v>2121-198342</v>
      </c>
      <c r="B142" s="18" t="str">
        <f t="shared" si="4"/>
        <v>SERIE: CD8R8313- POS CONTACTLESS CHIP -  VAUCHER N° 0000376 -  OP: 198342</v>
      </c>
      <c r="C142" s="2" t="s">
        <v>428</v>
      </c>
      <c r="D142" s="2" t="s">
        <v>26</v>
      </c>
      <c r="E142" s="2" t="s">
        <v>27</v>
      </c>
      <c r="F142" s="2" t="s">
        <v>28</v>
      </c>
      <c r="G142" s="2" t="s">
        <v>31</v>
      </c>
      <c r="H142" s="2" t="s">
        <v>441</v>
      </c>
      <c r="I142" s="2" t="s">
        <v>31</v>
      </c>
      <c r="J142" s="2" t="s">
        <v>31</v>
      </c>
      <c r="K142" s="2" t="s">
        <v>50</v>
      </c>
      <c r="L142" s="2" t="s">
        <v>32</v>
      </c>
      <c r="M142" s="3">
        <v>215</v>
      </c>
      <c r="N142" s="3">
        <v>6.36</v>
      </c>
      <c r="O142" s="3">
        <v>1.1399999999999999</v>
      </c>
      <c r="P142" s="3">
        <v>207.5</v>
      </c>
      <c r="Q142" s="3">
        <v>0</v>
      </c>
      <c r="R142" s="2" t="s">
        <v>438</v>
      </c>
      <c r="S142" s="2" t="s">
        <v>34</v>
      </c>
      <c r="T142" s="2" t="s">
        <v>442</v>
      </c>
      <c r="U142" s="2" t="s">
        <v>36</v>
      </c>
      <c r="V142" s="2" t="s">
        <v>443</v>
      </c>
      <c r="W142" s="2">
        <v>198342</v>
      </c>
      <c r="X142" s="2"/>
      <c r="Y142" s="2"/>
      <c r="Z142">
        <v>604</v>
      </c>
      <c r="AA142" t="s">
        <v>433</v>
      </c>
    </row>
    <row r="143" spans="1:27" x14ac:dyDescent="0.25">
      <c r="A143" s="4" t="str">
        <f t="shared" si="5"/>
        <v>2121-261A47</v>
      </c>
      <c r="B143" s="18" t="str">
        <f t="shared" si="4"/>
        <v>SERIE: CD8R8313- POS CONTACTLESS CHIP -  VAUCHER N° 0000374 -  OP: 261A47</v>
      </c>
      <c r="C143" s="2" t="s">
        <v>428</v>
      </c>
      <c r="D143" s="2" t="s">
        <v>26</v>
      </c>
      <c r="E143" s="2" t="s">
        <v>27</v>
      </c>
      <c r="F143" s="2" t="s">
        <v>28</v>
      </c>
      <c r="G143" s="2" t="s">
        <v>31</v>
      </c>
      <c r="H143" s="2" t="s">
        <v>444</v>
      </c>
      <c r="I143" s="2" t="s">
        <v>31</v>
      </c>
      <c r="J143" s="2" t="s">
        <v>31</v>
      </c>
      <c r="K143" s="2" t="s">
        <v>50</v>
      </c>
      <c r="L143" s="2" t="s">
        <v>32</v>
      </c>
      <c r="M143" s="3">
        <v>80</v>
      </c>
      <c r="N143" s="3">
        <v>2.37</v>
      </c>
      <c r="O143" s="3">
        <v>0.43</v>
      </c>
      <c r="P143" s="3">
        <v>77.2</v>
      </c>
      <c r="Q143" s="3">
        <v>0</v>
      </c>
      <c r="R143" s="2" t="s">
        <v>438</v>
      </c>
      <c r="S143" s="2" t="s">
        <v>34</v>
      </c>
      <c r="T143" s="2" t="s">
        <v>445</v>
      </c>
      <c r="U143" s="2" t="s">
        <v>36</v>
      </c>
      <c r="V143" s="2" t="s">
        <v>446</v>
      </c>
      <c r="W143" s="2" t="s">
        <v>447</v>
      </c>
      <c r="X143" s="2"/>
      <c r="Y143" s="2"/>
      <c r="Z143">
        <v>604</v>
      </c>
      <c r="AA143" t="s">
        <v>433</v>
      </c>
    </row>
    <row r="144" spans="1:27" x14ac:dyDescent="0.25">
      <c r="A144" s="4" t="str">
        <f t="shared" si="5"/>
        <v>2121-110166</v>
      </c>
      <c r="B144" s="18" t="str">
        <f t="shared" si="4"/>
        <v>SERIE: MPP001LL3- POS QR -  VAUCHER N° 3017300 -  OP: 110166</v>
      </c>
      <c r="C144" s="2" t="s">
        <v>428</v>
      </c>
      <c r="D144" s="2" t="s">
        <v>26</v>
      </c>
      <c r="E144" s="2" t="s">
        <v>43</v>
      </c>
      <c r="F144" s="2" t="s">
        <v>28</v>
      </c>
      <c r="G144" s="2" t="s">
        <v>31</v>
      </c>
      <c r="H144" s="2" t="s">
        <v>448</v>
      </c>
      <c r="I144" s="2" t="s">
        <v>31</v>
      </c>
      <c r="J144" s="2" t="s">
        <v>31</v>
      </c>
      <c r="K144" s="2" t="s">
        <v>50</v>
      </c>
      <c r="L144" s="2" t="s">
        <v>32</v>
      </c>
      <c r="M144" s="3">
        <v>40</v>
      </c>
      <c r="N144" s="3">
        <v>1.18</v>
      </c>
      <c r="O144" s="3">
        <v>0.21</v>
      </c>
      <c r="P144" s="3">
        <v>38.61</v>
      </c>
      <c r="Q144" s="3">
        <v>0</v>
      </c>
      <c r="R144" s="2" t="s">
        <v>438</v>
      </c>
      <c r="S144" s="2" t="s">
        <v>45</v>
      </c>
      <c r="T144" s="2">
        <v>3017300</v>
      </c>
      <c r="U144" s="2" t="s">
        <v>36</v>
      </c>
      <c r="V144" s="2" t="s">
        <v>449</v>
      </c>
      <c r="W144" s="2">
        <v>110166</v>
      </c>
      <c r="X144" s="2"/>
      <c r="Y144" s="2"/>
      <c r="Z144">
        <v>604</v>
      </c>
      <c r="AA144" t="s">
        <v>48</v>
      </c>
    </row>
    <row r="145" spans="1:27" x14ac:dyDescent="0.25">
      <c r="A145" s="4" t="str">
        <f t="shared" si="5"/>
        <v>2121-147576</v>
      </c>
      <c r="B145" s="18" t="str">
        <f t="shared" si="4"/>
        <v>SERIE: MPP001LL3- POS QR -  VAUCHER N° 5009220 -  OP: 147576</v>
      </c>
      <c r="C145" s="2" t="s">
        <v>428</v>
      </c>
      <c r="D145" s="2" t="s">
        <v>26</v>
      </c>
      <c r="E145" s="2" t="s">
        <v>43</v>
      </c>
      <c r="F145" s="2" t="s">
        <v>28</v>
      </c>
      <c r="G145" s="2" t="s">
        <v>31</v>
      </c>
      <c r="H145" s="2" t="s">
        <v>450</v>
      </c>
      <c r="I145" s="2" t="s">
        <v>31</v>
      </c>
      <c r="J145" s="2" t="s">
        <v>31</v>
      </c>
      <c r="K145" s="2" t="s">
        <v>50</v>
      </c>
      <c r="L145" s="2" t="s">
        <v>32</v>
      </c>
      <c r="M145" s="3">
        <v>70</v>
      </c>
      <c r="N145" s="3">
        <v>2.0699999999999998</v>
      </c>
      <c r="O145" s="3">
        <v>0.37</v>
      </c>
      <c r="P145" s="3">
        <v>67.56</v>
      </c>
      <c r="Q145" s="3">
        <v>0</v>
      </c>
      <c r="R145" s="2" t="s">
        <v>438</v>
      </c>
      <c r="S145" s="2" t="s">
        <v>45</v>
      </c>
      <c r="T145" s="2">
        <v>5009220</v>
      </c>
      <c r="U145" s="2" t="s">
        <v>36</v>
      </c>
      <c r="V145" s="2" t="s">
        <v>449</v>
      </c>
      <c r="W145" s="2">
        <v>147576</v>
      </c>
      <c r="X145" s="2"/>
      <c r="Y145" s="2"/>
      <c r="Z145">
        <v>604</v>
      </c>
      <c r="AA145" t="s">
        <v>48</v>
      </c>
    </row>
    <row r="146" spans="1:27" x14ac:dyDescent="0.25">
      <c r="A146" s="4" t="str">
        <f t="shared" si="5"/>
        <v>2121-056339</v>
      </c>
      <c r="B146" s="18" t="str">
        <f t="shared" si="4"/>
        <v>SERIE: MPP001LL3- POS QR -  VAUCHER N° 0016591 -  OP: 056339</v>
      </c>
      <c r="C146" s="2" t="s">
        <v>428</v>
      </c>
      <c r="D146" s="2" t="s">
        <v>26</v>
      </c>
      <c r="E146" s="2" t="s">
        <v>43</v>
      </c>
      <c r="F146" s="2" t="s">
        <v>28</v>
      </c>
      <c r="G146" s="2" t="s">
        <v>31</v>
      </c>
      <c r="H146" s="2" t="s">
        <v>451</v>
      </c>
      <c r="I146" s="2" t="s">
        <v>31</v>
      </c>
      <c r="J146" s="2" t="s">
        <v>31</v>
      </c>
      <c r="K146" s="2" t="s">
        <v>50</v>
      </c>
      <c r="L146" s="2" t="s">
        <v>32</v>
      </c>
      <c r="M146" s="3">
        <v>392</v>
      </c>
      <c r="N146" s="3">
        <v>11.6</v>
      </c>
      <c r="O146" s="3">
        <v>2.09</v>
      </c>
      <c r="P146" s="3">
        <v>378.31</v>
      </c>
      <c r="Q146" s="3">
        <v>0</v>
      </c>
      <c r="R146" s="2" t="s">
        <v>438</v>
      </c>
      <c r="S146" s="2" t="s">
        <v>45</v>
      </c>
      <c r="T146" s="2" t="s">
        <v>452</v>
      </c>
      <c r="U146" s="2" t="s">
        <v>36</v>
      </c>
      <c r="V146" s="2" t="s">
        <v>453</v>
      </c>
      <c r="W146" s="2" t="s">
        <v>454</v>
      </c>
      <c r="X146" s="2"/>
      <c r="Y146" s="2"/>
      <c r="Z146">
        <v>604</v>
      </c>
      <c r="AA146" t="s">
        <v>48</v>
      </c>
    </row>
    <row r="147" spans="1:27" x14ac:dyDescent="0.25">
      <c r="A147" s="4" t="str">
        <f t="shared" si="5"/>
        <v>2121-301863</v>
      </c>
      <c r="B147" s="18" t="str">
        <f t="shared" si="4"/>
        <v>SERIE: CD8R8313- POS CONTACTLESS CHIP -  VAUCHER N° 0000405 -  OP: 301863</v>
      </c>
      <c r="C147" s="2" t="s">
        <v>428</v>
      </c>
      <c r="D147" s="2" t="s">
        <v>26</v>
      </c>
      <c r="E147" s="2" t="s">
        <v>27</v>
      </c>
      <c r="F147" s="2" t="s">
        <v>28</v>
      </c>
      <c r="G147" s="2" t="s">
        <v>50</v>
      </c>
      <c r="H147" s="2" t="s">
        <v>455</v>
      </c>
      <c r="I147" s="2" t="s">
        <v>50</v>
      </c>
      <c r="J147" s="2" t="s">
        <v>50</v>
      </c>
      <c r="K147" s="2" t="s">
        <v>71</v>
      </c>
      <c r="L147" s="2" t="s">
        <v>32</v>
      </c>
      <c r="M147" s="3">
        <v>99.99</v>
      </c>
      <c r="N147" s="3">
        <v>2.96</v>
      </c>
      <c r="O147" s="3">
        <v>0.53</v>
      </c>
      <c r="P147" s="3">
        <v>96.5</v>
      </c>
      <c r="Q147" s="3">
        <v>212.31</v>
      </c>
      <c r="R147" s="2" t="s">
        <v>456</v>
      </c>
      <c r="S147" s="2" t="s">
        <v>34</v>
      </c>
      <c r="T147" s="2" t="s">
        <v>457</v>
      </c>
      <c r="U147" s="2" t="s">
        <v>36</v>
      </c>
      <c r="V147" s="2" t="s">
        <v>458</v>
      </c>
      <c r="W147" s="2">
        <v>301863</v>
      </c>
      <c r="X147" s="2"/>
      <c r="Y147" s="2"/>
      <c r="Z147">
        <v>604</v>
      </c>
      <c r="AA147" t="s">
        <v>433</v>
      </c>
    </row>
    <row r="148" spans="1:27" x14ac:dyDescent="0.25">
      <c r="A148" s="4" t="str">
        <f t="shared" si="5"/>
        <v>2121-053506</v>
      </c>
      <c r="B148" s="18" t="str">
        <f t="shared" si="4"/>
        <v>SERIE: MPP001LL3- POS QR -  VAUCHER N° 0019946 -  OP: 053506</v>
      </c>
      <c r="C148" s="2" t="s">
        <v>428</v>
      </c>
      <c r="D148" s="2" t="s">
        <v>26</v>
      </c>
      <c r="E148" s="2" t="s">
        <v>43</v>
      </c>
      <c r="F148" s="2" t="s">
        <v>28</v>
      </c>
      <c r="G148" s="2" t="s">
        <v>50</v>
      </c>
      <c r="H148" s="2" t="s">
        <v>459</v>
      </c>
      <c r="I148" s="2" t="s">
        <v>71</v>
      </c>
      <c r="J148" s="2" t="s">
        <v>50</v>
      </c>
      <c r="K148" s="2" t="s">
        <v>71</v>
      </c>
      <c r="L148" s="2" t="s">
        <v>32</v>
      </c>
      <c r="M148" s="3">
        <v>45</v>
      </c>
      <c r="N148" s="3">
        <v>1.33</v>
      </c>
      <c r="O148" s="3">
        <v>0.24</v>
      </c>
      <c r="P148" s="3">
        <v>43.43</v>
      </c>
      <c r="Q148" s="3">
        <v>0</v>
      </c>
      <c r="R148" s="2" t="s">
        <v>456</v>
      </c>
      <c r="S148" s="2" t="s">
        <v>45</v>
      </c>
      <c r="T148" s="2" t="s">
        <v>460</v>
      </c>
      <c r="U148" s="2" t="s">
        <v>36</v>
      </c>
      <c r="V148" s="2" t="s">
        <v>461</v>
      </c>
      <c r="W148" s="2" t="s">
        <v>462</v>
      </c>
      <c r="X148" s="2"/>
      <c r="Y148" s="2"/>
      <c r="Z148">
        <v>604</v>
      </c>
      <c r="AA148" t="s">
        <v>48</v>
      </c>
    </row>
    <row r="149" spans="1:27" x14ac:dyDescent="0.25">
      <c r="A149" s="4" t="str">
        <f t="shared" si="5"/>
        <v>2121-031072</v>
      </c>
      <c r="B149" s="18" t="str">
        <f t="shared" si="4"/>
        <v>SERIE: MPP001LL3- POS QR -  VAUCHER N° 9001544 -  OP: 031072</v>
      </c>
      <c r="C149" s="2" t="s">
        <v>428</v>
      </c>
      <c r="D149" s="2" t="s">
        <v>26</v>
      </c>
      <c r="E149" s="2" t="s">
        <v>43</v>
      </c>
      <c r="F149" s="2" t="s">
        <v>28</v>
      </c>
      <c r="G149" s="2" t="s">
        <v>50</v>
      </c>
      <c r="H149" s="2" t="s">
        <v>463</v>
      </c>
      <c r="I149" s="2" t="s">
        <v>71</v>
      </c>
      <c r="J149" s="2" t="s">
        <v>50</v>
      </c>
      <c r="K149" s="2" t="s">
        <v>71</v>
      </c>
      <c r="L149" s="2" t="s">
        <v>32</v>
      </c>
      <c r="M149" s="3">
        <v>75</v>
      </c>
      <c r="N149" s="3">
        <v>2.2200000000000002</v>
      </c>
      <c r="O149" s="3">
        <v>0.4</v>
      </c>
      <c r="P149" s="3">
        <v>72.38</v>
      </c>
      <c r="Q149" s="3">
        <v>0</v>
      </c>
      <c r="R149" s="2" t="s">
        <v>456</v>
      </c>
      <c r="S149" s="2" t="s">
        <v>45</v>
      </c>
      <c r="T149" s="2">
        <v>9001544</v>
      </c>
      <c r="U149" s="2" t="s">
        <v>36</v>
      </c>
      <c r="V149" s="2" t="s">
        <v>464</v>
      </c>
      <c r="W149" s="2" t="s">
        <v>465</v>
      </c>
      <c r="X149" s="2"/>
      <c r="Y149" s="2"/>
      <c r="Z149">
        <v>604</v>
      </c>
      <c r="AA149" t="s">
        <v>48</v>
      </c>
    </row>
    <row r="150" spans="1:27" x14ac:dyDescent="0.25">
      <c r="A150" s="4" t="str">
        <f t="shared" si="5"/>
        <v>2121-072410</v>
      </c>
      <c r="B150" s="18" t="str">
        <f t="shared" si="4"/>
        <v>SERIE: CD8R8313- POS CONTACTLESS CHIP -  VAUCHER N° 0000435 -  OP: 072410</v>
      </c>
      <c r="C150" s="2" t="s">
        <v>428</v>
      </c>
      <c r="D150" s="2" t="s">
        <v>26</v>
      </c>
      <c r="E150" s="2" t="s">
        <v>27</v>
      </c>
      <c r="F150" s="2" t="s">
        <v>28</v>
      </c>
      <c r="G150" s="2" t="s">
        <v>71</v>
      </c>
      <c r="H150" s="2" t="s">
        <v>466</v>
      </c>
      <c r="I150" s="2" t="s">
        <v>71</v>
      </c>
      <c r="J150" s="2" t="s">
        <v>71</v>
      </c>
      <c r="K150" s="2" t="s">
        <v>92</v>
      </c>
      <c r="L150" s="2" t="s">
        <v>32</v>
      </c>
      <c r="M150" s="3">
        <v>270</v>
      </c>
      <c r="N150" s="3">
        <v>7.99</v>
      </c>
      <c r="O150" s="3">
        <v>1.44</v>
      </c>
      <c r="P150" s="3">
        <v>260.57</v>
      </c>
      <c r="Q150" s="3">
        <v>1100.17</v>
      </c>
      <c r="R150" s="2" t="s">
        <v>467</v>
      </c>
      <c r="S150" s="2" t="s">
        <v>34</v>
      </c>
      <c r="T150" s="2" t="s">
        <v>468</v>
      </c>
      <c r="U150" s="2" t="s">
        <v>36</v>
      </c>
      <c r="V150" s="2" t="s">
        <v>443</v>
      </c>
      <c r="W150" s="2" t="s">
        <v>469</v>
      </c>
      <c r="X150" s="2"/>
      <c r="Y150" s="2"/>
      <c r="Z150">
        <v>604</v>
      </c>
      <c r="AA150" t="s">
        <v>433</v>
      </c>
    </row>
    <row r="151" spans="1:27" x14ac:dyDescent="0.25">
      <c r="A151" s="4" t="str">
        <f t="shared" si="5"/>
        <v>2121-316719</v>
      </c>
      <c r="B151" s="18" t="str">
        <f t="shared" si="4"/>
        <v>SERIE: CD8R8313- POS CONTACTLESS CHIP -  VAUCHER N° 0000433 -  OP: 316719</v>
      </c>
      <c r="C151" s="2" t="s">
        <v>428</v>
      </c>
      <c r="D151" s="2" t="s">
        <v>26</v>
      </c>
      <c r="E151" s="2" t="s">
        <v>27</v>
      </c>
      <c r="F151" s="2" t="s">
        <v>28</v>
      </c>
      <c r="G151" s="2" t="s">
        <v>71</v>
      </c>
      <c r="H151" s="2" t="s">
        <v>470</v>
      </c>
      <c r="I151" s="2" t="s">
        <v>71</v>
      </c>
      <c r="J151" s="2" t="s">
        <v>71</v>
      </c>
      <c r="K151" s="2" t="s">
        <v>92</v>
      </c>
      <c r="L151" s="2" t="s">
        <v>32</v>
      </c>
      <c r="M151" s="3">
        <v>240</v>
      </c>
      <c r="N151" s="3">
        <v>7.1</v>
      </c>
      <c r="O151" s="3">
        <v>1.28</v>
      </c>
      <c r="P151" s="3">
        <v>231.62</v>
      </c>
      <c r="Q151" s="3">
        <v>0</v>
      </c>
      <c r="R151" s="2" t="s">
        <v>467</v>
      </c>
      <c r="S151" s="2" t="s">
        <v>34</v>
      </c>
      <c r="T151" s="2" t="s">
        <v>471</v>
      </c>
      <c r="U151" s="2" t="s">
        <v>36</v>
      </c>
      <c r="V151" s="2" t="s">
        <v>472</v>
      </c>
      <c r="W151" s="2">
        <v>316719</v>
      </c>
      <c r="X151" s="2"/>
      <c r="Y151" s="2"/>
      <c r="Z151">
        <v>604</v>
      </c>
      <c r="AA151" t="s">
        <v>433</v>
      </c>
    </row>
    <row r="152" spans="1:27" x14ac:dyDescent="0.25">
      <c r="A152" s="4" t="str">
        <f t="shared" si="5"/>
        <v>2121-058695</v>
      </c>
      <c r="B152" s="18" t="str">
        <f t="shared" si="4"/>
        <v>SERIE: CD8R8313- POS CONTACTLESS CHIP -  VAUCHER N° 0000425 -  OP: 058695</v>
      </c>
      <c r="C152" s="2" t="s">
        <v>428</v>
      </c>
      <c r="D152" s="2" t="s">
        <v>26</v>
      </c>
      <c r="E152" s="2" t="s">
        <v>27</v>
      </c>
      <c r="F152" s="2" t="s">
        <v>28</v>
      </c>
      <c r="G152" s="2" t="s">
        <v>71</v>
      </c>
      <c r="H152" s="2" t="s">
        <v>473</v>
      </c>
      <c r="I152" s="2" t="s">
        <v>71</v>
      </c>
      <c r="J152" s="2" t="s">
        <v>71</v>
      </c>
      <c r="K152" s="2" t="s">
        <v>92</v>
      </c>
      <c r="L152" s="2" t="s">
        <v>32</v>
      </c>
      <c r="M152" s="3">
        <v>45</v>
      </c>
      <c r="N152" s="3">
        <v>1.33</v>
      </c>
      <c r="O152" s="3">
        <v>0.24</v>
      </c>
      <c r="P152" s="3">
        <v>43.43</v>
      </c>
      <c r="Q152" s="3">
        <v>0</v>
      </c>
      <c r="R152" s="2" t="s">
        <v>467</v>
      </c>
      <c r="S152" s="2" t="s">
        <v>34</v>
      </c>
      <c r="T152" s="2" t="s">
        <v>474</v>
      </c>
      <c r="U152" s="2" t="s">
        <v>63</v>
      </c>
      <c r="V152" s="2" t="s">
        <v>475</v>
      </c>
      <c r="W152" s="2" t="s">
        <v>476</v>
      </c>
      <c r="X152" s="2"/>
      <c r="Y152" s="2"/>
      <c r="Z152">
        <v>604</v>
      </c>
      <c r="AA152" t="s">
        <v>433</v>
      </c>
    </row>
    <row r="153" spans="1:27" x14ac:dyDescent="0.25">
      <c r="A153" s="4" t="str">
        <f t="shared" si="5"/>
        <v>2121-042776</v>
      </c>
      <c r="B153" s="18" t="str">
        <f t="shared" si="4"/>
        <v>SERIE: CD8R8313- POS CONTACTLESS CHIP -  VAUCHER N° 0000423 -  OP: 042776</v>
      </c>
      <c r="C153" s="2" t="s">
        <v>428</v>
      </c>
      <c r="D153" s="2" t="s">
        <v>26</v>
      </c>
      <c r="E153" s="2" t="s">
        <v>27</v>
      </c>
      <c r="F153" s="2" t="s">
        <v>28</v>
      </c>
      <c r="G153" s="2" t="s">
        <v>71</v>
      </c>
      <c r="H153" s="2" t="s">
        <v>477</v>
      </c>
      <c r="I153" s="2" t="s">
        <v>71</v>
      </c>
      <c r="J153" s="2" t="s">
        <v>71</v>
      </c>
      <c r="K153" s="2" t="s">
        <v>92</v>
      </c>
      <c r="L153" s="2" t="s">
        <v>32</v>
      </c>
      <c r="M153" s="3">
        <v>155</v>
      </c>
      <c r="N153" s="3">
        <v>4.59</v>
      </c>
      <c r="O153" s="3">
        <v>0.83</v>
      </c>
      <c r="P153" s="3">
        <v>149.58000000000001</v>
      </c>
      <c r="Q153" s="3">
        <v>0</v>
      </c>
      <c r="R153" s="2" t="s">
        <v>467</v>
      </c>
      <c r="S153" s="2" t="s">
        <v>34</v>
      </c>
      <c r="T153" s="2" t="s">
        <v>478</v>
      </c>
      <c r="U153" s="2" t="s">
        <v>36</v>
      </c>
      <c r="V153" s="2" t="s">
        <v>479</v>
      </c>
      <c r="W153" s="2" t="s">
        <v>480</v>
      </c>
      <c r="X153" s="2"/>
      <c r="Y153" s="2"/>
      <c r="Z153">
        <v>604</v>
      </c>
      <c r="AA153" t="s">
        <v>433</v>
      </c>
    </row>
    <row r="154" spans="1:27" x14ac:dyDescent="0.25">
      <c r="A154" s="4" t="str">
        <f t="shared" si="5"/>
        <v>2121-144245</v>
      </c>
      <c r="B154" s="18" t="str">
        <f t="shared" si="4"/>
        <v>SERIE: MPP001LL3- POS QR -  VAUCHER N° 5011473 -  OP: 144245</v>
      </c>
      <c r="C154" s="2" t="s">
        <v>428</v>
      </c>
      <c r="D154" s="2" t="s">
        <v>26</v>
      </c>
      <c r="E154" s="2" t="s">
        <v>43</v>
      </c>
      <c r="F154" s="2" t="s">
        <v>28</v>
      </c>
      <c r="G154" s="2" t="s">
        <v>71</v>
      </c>
      <c r="H154" s="2" t="s">
        <v>481</v>
      </c>
      <c r="I154" s="2" t="s">
        <v>92</v>
      </c>
      <c r="J154" s="2" t="s">
        <v>71</v>
      </c>
      <c r="K154" s="2" t="s">
        <v>92</v>
      </c>
      <c r="L154" s="2" t="s">
        <v>32</v>
      </c>
      <c r="M154" s="3">
        <v>60</v>
      </c>
      <c r="N154" s="3">
        <v>1.78</v>
      </c>
      <c r="O154" s="3">
        <v>0.32</v>
      </c>
      <c r="P154" s="3">
        <v>57.9</v>
      </c>
      <c r="Q154" s="3">
        <v>0</v>
      </c>
      <c r="R154" s="2" t="s">
        <v>467</v>
      </c>
      <c r="S154" s="2" t="s">
        <v>45</v>
      </c>
      <c r="T154" s="2">
        <v>5011473</v>
      </c>
      <c r="U154" s="2" t="s">
        <v>36</v>
      </c>
      <c r="V154" s="2" t="s">
        <v>482</v>
      </c>
      <c r="W154" s="2">
        <v>144245</v>
      </c>
      <c r="X154" s="2"/>
      <c r="Y154" s="2"/>
      <c r="Z154">
        <v>604</v>
      </c>
      <c r="AA154" t="s">
        <v>48</v>
      </c>
    </row>
    <row r="155" spans="1:27" x14ac:dyDescent="0.25">
      <c r="A155" s="4" t="str">
        <f t="shared" si="5"/>
        <v>2121-078748</v>
      </c>
      <c r="B155" s="18" t="str">
        <f t="shared" si="4"/>
        <v>SERIE: MPP001LL3- POS QR -  VAUCHER N° 1035847 -  OP: 078748</v>
      </c>
      <c r="C155" s="2" t="s">
        <v>428</v>
      </c>
      <c r="D155" s="2" t="s">
        <v>26</v>
      </c>
      <c r="E155" s="2" t="s">
        <v>43</v>
      </c>
      <c r="F155" s="2" t="s">
        <v>28</v>
      </c>
      <c r="G155" s="2" t="s">
        <v>71</v>
      </c>
      <c r="H155" s="2" t="s">
        <v>483</v>
      </c>
      <c r="I155" s="2" t="s">
        <v>92</v>
      </c>
      <c r="J155" s="2" t="s">
        <v>71</v>
      </c>
      <c r="K155" s="2" t="s">
        <v>92</v>
      </c>
      <c r="L155" s="2" t="s">
        <v>32</v>
      </c>
      <c r="M155" s="3">
        <v>65</v>
      </c>
      <c r="N155" s="3">
        <v>1.92</v>
      </c>
      <c r="O155" s="3">
        <v>0.35</v>
      </c>
      <c r="P155" s="3">
        <v>62.73</v>
      </c>
      <c r="Q155" s="3">
        <v>0</v>
      </c>
      <c r="R155" s="2" t="s">
        <v>467</v>
      </c>
      <c r="S155" s="2" t="s">
        <v>45</v>
      </c>
      <c r="T155" s="2">
        <v>1035847</v>
      </c>
      <c r="U155" s="2" t="s">
        <v>36</v>
      </c>
      <c r="V155" s="2" t="s">
        <v>484</v>
      </c>
      <c r="W155" s="2" t="s">
        <v>485</v>
      </c>
      <c r="X155" s="2"/>
      <c r="Y155" s="2"/>
      <c r="Z155">
        <v>604</v>
      </c>
      <c r="AA155" t="s">
        <v>48</v>
      </c>
    </row>
    <row r="156" spans="1:27" x14ac:dyDescent="0.25">
      <c r="A156" s="4" t="str">
        <f t="shared" si="5"/>
        <v>2121-172137</v>
      </c>
      <c r="B156" s="18" t="str">
        <f t="shared" si="4"/>
        <v>SERIE: MPP001LL3- POS QR -  VAUCHER N° 6033300 -  OP: 172137</v>
      </c>
      <c r="C156" s="2" t="s">
        <v>428</v>
      </c>
      <c r="D156" s="2" t="s">
        <v>26</v>
      </c>
      <c r="E156" s="2" t="s">
        <v>43</v>
      </c>
      <c r="F156" s="2" t="s">
        <v>28</v>
      </c>
      <c r="G156" s="2" t="s">
        <v>71</v>
      </c>
      <c r="H156" s="2" t="s">
        <v>486</v>
      </c>
      <c r="I156" s="2" t="s">
        <v>92</v>
      </c>
      <c r="J156" s="2" t="s">
        <v>71</v>
      </c>
      <c r="K156" s="2" t="s">
        <v>92</v>
      </c>
      <c r="L156" s="2" t="s">
        <v>32</v>
      </c>
      <c r="M156" s="3">
        <v>200</v>
      </c>
      <c r="N156" s="3">
        <v>5.92</v>
      </c>
      <c r="O156" s="3">
        <v>1.07</v>
      </c>
      <c r="P156" s="3">
        <v>193.01</v>
      </c>
      <c r="Q156" s="3">
        <v>0</v>
      </c>
      <c r="R156" s="2" t="s">
        <v>467</v>
      </c>
      <c r="S156" s="2" t="s">
        <v>45</v>
      </c>
      <c r="T156" s="2">
        <v>6033300</v>
      </c>
      <c r="U156" s="2" t="s">
        <v>36</v>
      </c>
      <c r="V156" s="2" t="s">
        <v>487</v>
      </c>
      <c r="W156" s="2">
        <v>172137</v>
      </c>
      <c r="X156" s="2"/>
      <c r="Y156" s="2"/>
      <c r="Z156">
        <v>604</v>
      </c>
      <c r="AA156" t="s">
        <v>48</v>
      </c>
    </row>
    <row r="157" spans="1:27" x14ac:dyDescent="0.25">
      <c r="A157" s="4" t="str">
        <f t="shared" si="5"/>
        <v>2121-141561</v>
      </c>
      <c r="B157" s="18" t="str">
        <f t="shared" si="4"/>
        <v>SERIE: MPP001LL3- POS QR -  VAUCHER N° 5006020 -  OP: 141561</v>
      </c>
      <c r="C157" s="2" t="s">
        <v>428</v>
      </c>
      <c r="D157" s="2" t="s">
        <v>26</v>
      </c>
      <c r="E157" s="2" t="s">
        <v>43</v>
      </c>
      <c r="F157" s="2" t="s">
        <v>28</v>
      </c>
      <c r="G157" s="2" t="s">
        <v>71</v>
      </c>
      <c r="H157" s="2" t="s">
        <v>488</v>
      </c>
      <c r="I157" s="2" t="s">
        <v>92</v>
      </c>
      <c r="J157" s="2" t="s">
        <v>71</v>
      </c>
      <c r="K157" s="2" t="s">
        <v>92</v>
      </c>
      <c r="L157" s="2" t="s">
        <v>32</v>
      </c>
      <c r="M157" s="3">
        <v>105</v>
      </c>
      <c r="N157" s="3">
        <v>3.11</v>
      </c>
      <c r="O157" s="3">
        <v>0.56000000000000005</v>
      </c>
      <c r="P157" s="3">
        <v>101.33</v>
      </c>
      <c r="Q157" s="3">
        <v>0</v>
      </c>
      <c r="R157" s="2" t="s">
        <v>467</v>
      </c>
      <c r="S157" s="2" t="s">
        <v>45</v>
      </c>
      <c r="T157" s="2">
        <v>5006020</v>
      </c>
      <c r="U157" s="2" t="s">
        <v>36</v>
      </c>
      <c r="V157" s="2" t="s">
        <v>489</v>
      </c>
      <c r="W157" s="2">
        <v>141561</v>
      </c>
      <c r="X157" s="2"/>
      <c r="Y157" s="2"/>
      <c r="Z157">
        <v>604</v>
      </c>
      <c r="AA157" t="s">
        <v>48</v>
      </c>
    </row>
    <row r="158" spans="1:27" x14ac:dyDescent="0.25">
      <c r="A158" s="4" t="str">
        <f t="shared" si="5"/>
        <v>2121-085618</v>
      </c>
      <c r="B158" s="18" t="str">
        <f t="shared" si="4"/>
        <v>SERIE: MPP001LL3- POS QR -  VAUCHER N° 2005705 -  OP: 085618</v>
      </c>
      <c r="C158" s="2" t="s">
        <v>428</v>
      </c>
      <c r="D158" s="2" t="s">
        <v>26</v>
      </c>
      <c r="E158" s="2" t="s">
        <v>43</v>
      </c>
      <c r="F158" s="2" t="s">
        <v>28</v>
      </c>
      <c r="G158" s="2" t="s">
        <v>92</v>
      </c>
      <c r="H158" s="2" t="s">
        <v>490</v>
      </c>
      <c r="I158" s="2" t="s">
        <v>92</v>
      </c>
      <c r="J158" s="2" t="s">
        <v>92</v>
      </c>
      <c r="K158" s="2" t="s">
        <v>114</v>
      </c>
      <c r="L158" s="2" t="s">
        <v>32</v>
      </c>
      <c r="M158" s="3">
        <v>115</v>
      </c>
      <c r="N158" s="3">
        <v>3.4</v>
      </c>
      <c r="O158" s="3">
        <v>0.61</v>
      </c>
      <c r="P158" s="3">
        <v>110.99</v>
      </c>
      <c r="Q158" s="3">
        <v>1289.82</v>
      </c>
      <c r="R158" s="2" t="s">
        <v>491</v>
      </c>
      <c r="S158" s="2" t="s">
        <v>45</v>
      </c>
      <c r="T158" s="2">
        <v>2005705</v>
      </c>
      <c r="U158" s="2" t="s">
        <v>36</v>
      </c>
      <c r="V158" s="2" t="s">
        <v>492</v>
      </c>
      <c r="W158" s="2" t="s">
        <v>493</v>
      </c>
      <c r="X158" s="2"/>
      <c r="Y158" s="2"/>
      <c r="Z158">
        <v>604</v>
      </c>
      <c r="AA158" t="s">
        <v>48</v>
      </c>
    </row>
    <row r="159" spans="1:27" x14ac:dyDescent="0.25">
      <c r="A159" s="4" t="str">
        <f t="shared" si="5"/>
        <v>2121-041168</v>
      </c>
      <c r="B159" s="18" t="str">
        <f t="shared" si="4"/>
        <v>SERIE: MPP001LL3- POS QR -  VAUCHER N° 9015681 -  OP: 041168</v>
      </c>
      <c r="C159" s="2" t="s">
        <v>428</v>
      </c>
      <c r="D159" s="2" t="s">
        <v>26</v>
      </c>
      <c r="E159" s="2" t="s">
        <v>43</v>
      </c>
      <c r="F159" s="2" t="s">
        <v>28</v>
      </c>
      <c r="G159" s="2" t="s">
        <v>92</v>
      </c>
      <c r="H159" s="2" t="s">
        <v>494</v>
      </c>
      <c r="I159" s="2" t="s">
        <v>92</v>
      </c>
      <c r="J159" s="2" t="s">
        <v>92</v>
      </c>
      <c r="K159" s="2" t="s">
        <v>114</v>
      </c>
      <c r="L159" s="2" t="s">
        <v>32</v>
      </c>
      <c r="M159" s="3">
        <v>35</v>
      </c>
      <c r="N159" s="3">
        <v>1.04</v>
      </c>
      <c r="O159" s="3">
        <v>0.19</v>
      </c>
      <c r="P159" s="3">
        <v>33.770000000000003</v>
      </c>
      <c r="Q159" s="3">
        <v>0</v>
      </c>
      <c r="R159" s="2" t="s">
        <v>491</v>
      </c>
      <c r="S159" s="2" t="s">
        <v>45</v>
      </c>
      <c r="T159" s="2">
        <v>9015681</v>
      </c>
      <c r="U159" s="2" t="s">
        <v>36</v>
      </c>
      <c r="V159" s="2" t="s">
        <v>495</v>
      </c>
      <c r="W159" s="2" t="s">
        <v>496</v>
      </c>
      <c r="X159" s="2"/>
      <c r="Y159" s="2"/>
      <c r="Z159">
        <v>604</v>
      </c>
      <c r="AA159" t="s">
        <v>48</v>
      </c>
    </row>
    <row r="160" spans="1:27" x14ac:dyDescent="0.25">
      <c r="A160" s="4" t="str">
        <f t="shared" si="5"/>
        <v>2121-053818</v>
      </c>
      <c r="B160" s="18" t="str">
        <f t="shared" si="4"/>
        <v>SERIE: MPP001LL3- POS QR -  VAUCHER N° 0012356 -  OP: 053818</v>
      </c>
      <c r="C160" s="2" t="s">
        <v>428</v>
      </c>
      <c r="D160" s="2" t="s">
        <v>26</v>
      </c>
      <c r="E160" s="2" t="s">
        <v>43</v>
      </c>
      <c r="F160" s="2" t="s">
        <v>28</v>
      </c>
      <c r="G160" s="2" t="s">
        <v>92</v>
      </c>
      <c r="H160" s="2" t="s">
        <v>497</v>
      </c>
      <c r="I160" s="2" t="s">
        <v>92</v>
      </c>
      <c r="J160" s="2" t="s">
        <v>92</v>
      </c>
      <c r="K160" s="2" t="s">
        <v>114</v>
      </c>
      <c r="L160" s="2" t="s">
        <v>32</v>
      </c>
      <c r="M160" s="3">
        <v>300</v>
      </c>
      <c r="N160" s="3">
        <v>8.8800000000000008</v>
      </c>
      <c r="O160" s="3">
        <v>1.6</v>
      </c>
      <c r="P160" s="3">
        <v>289.52</v>
      </c>
      <c r="Q160" s="3">
        <v>0</v>
      </c>
      <c r="R160" s="2" t="s">
        <v>491</v>
      </c>
      <c r="S160" s="2" t="s">
        <v>45</v>
      </c>
      <c r="T160" s="2" t="s">
        <v>498</v>
      </c>
      <c r="U160" s="2" t="s">
        <v>36</v>
      </c>
      <c r="V160" s="2" t="s">
        <v>499</v>
      </c>
      <c r="W160" s="2" t="s">
        <v>500</v>
      </c>
      <c r="X160" s="2"/>
      <c r="Y160" s="2"/>
      <c r="Z160">
        <v>604</v>
      </c>
      <c r="AA160" t="s">
        <v>48</v>
      </c>
    </row>
    <row r="161" spans="1:27" x14ac:dyDescent="0.25">
      <c r="A161" s="4" t="str">
        <f t="shared" si="5"/>
        <v>2121-213230</v>
      </c>
      <c r="B161" s="18" t="str">
        <f t="shared" si="4"/>
        <v>SERIE: MPP001LL3- POS QR -  VAUCHER N° 8014575 -  OP: 213230</v>
      </c>
      <c r="C161" s="2" t="s">
        <v>428</v>
      </c>
      <c r="D161" s="2" t="s">
        <v>26</v>
      </c>
      <c r="E161" s="2" t="s">
        <v>43</v>
      </c>
      <c r="F161" s="2" t="s">
        <v>28</v>
      </c>
      <c r="G161" s="2" t="s">
        <v>92</v>
      </c>
      <c r="H161" s="2" t="s">
        <v>501</v>
      </c>
      <c r="I161" s="2" t="s">
        <v>92</v>
      </c>
      <c r="J161" s="2" t="s">
        <v>92</v>
      </c>
      <c r="K161" s="2" t="s">
        <v>114</v>
      </c>
      <c r="L161" s="2" t="s">
        <v>32</v>
      </c>
      <c r="M161" s="3">
        <v>98</v>
      </c>
      <c r="N161" s="3">
        <v>2.9</v>
      </c>
      <c r="O161" s="3">
        <v>0.52</v>
      </c>
      <c r="P161" s="3">
        <v>94.58</v>
      </c>
      <c r="Q161" s="3">
        <v>0</v>
      </c>
      <c r="R161" s="2" t="s">
        <v>491</v>
      </c>
      <c r="S161" s="2" t="s">
        <v>45</v>
      </c>
      <c r="T161" s="2">
        <v>8014575</v>
      </c>
      <c r="U161" s="2" t="s">
        <v>36</v>
      </c>
      <c r="V161" s="2" t="s">
        <v>502</v>
      </c>
      <c r="W161" s="2">
        <v>213230</v>
      </c>
      <c r="X161" s="2"/>
      <c r="Y161" s="2"/>
      <c r="Z161">
        <v>604</v>
      </c>
      <c r="AA161" t="s">
        <v>48</v>
      </c>
    </row>
    <row r="162" spans="1:27" x14ac:dyDescent="0.25">
      <c r="A162" s="4" t="str">
        <f t="shared" si="5"/>
        <v>2121-123489</v>
      </c>
      <c r="B162" s="18" t="str">
        <f t="shared" si="4"/>
        <v>SERIE: CD8R8313- POS CONTACTLESS CHIP -  VAUCHER N° 0000476 -  OP: 123489</v>
      </c>
      <c r="C162" s="2" t="s">
        <v>428</v>
      </c>
      <c r="D162" s="2" t="s">
        <v>26</v>
      </c>
      <c r="E162" s="2" t="s">
        <v>27</v>
      </c>
      <c r="F162" s="2" t="s">
        <v>28</v>
      </c>
      <c r="G162" s="2" t="s">
        <v>92</v>
      </c>
      <c r="H162" s="2" t="s">
        <v>503</v>
      </c>
      <c r="I162" s="2" t="s">
        <v>92</v>
      </c>
      <c r="J162" s="2" t="s">
        <v>92</v>
      </c>
      <c r="K162" s="2" t="s">
        <v>114</v>
      </c>
      <c r="L162" s="2" t="s">
        <v>32</v>
      </c>
      <c r="M162" s="3">
        <v>120</v>
      </c>
      <c r="N162" s="3">
        <v>3.55</v>
      </c>
      <c r="O162" s="3">
        <v>0.64</v>
      </c>
      <c r="P162" s="3">
        <v>115.81</v>
      </c>
      <c r="Q162" s="3">
        <v>0</v>
      </c>
      <c r="R162" s="2" t="s">
        <v>491</v>
      </c>
      <c r="S162" s="2" t="s">
        <v>34</v>
      </c>
      <c r="T162" s="2" t="s">
        <v>504</v>
      </c>
      <c r="U162" s="2" t="s">
        <v>36</v>
      </c>
      <c r="V162" s="2" t="s">
        <v>505</v>
      </c>
      <c r="W162" s="2">
        <v>123489</v>
      </c>
      <c r="X162" s="2"/>
      <c r="Y162" s="2"/>
      <c r="Z162">
        <v>604</v>
      </c>
      <c r="AA162" t="s">
        <v>433</v>
      </c>
    </row>
    <row r="163" spans="1:27" x14ac:dyDescent="0.25">
      <c r="A163" s="4" t="str">
        <f t="shared" si="5"/>
        <v>2121-532656</v>
      </c>
      <c r="B163" s="18" t="str">
        <f t="shared" si="4"/>
        <v>SERIE: CD8R8313- POS CONTACTLESS CHIP -  VAUCHER N° 0000474 -  OP: 532656</v>
      </c>
      <c r="C163" s="2" t="s">
        <v>428</v>
      </c>
      <c r="D163" s="2" t="s">
        <v>26</v>
      </c>
      <c r="E163" s="2" t="s">
        <v>27</v>
      </c>
      <c r="F163" s="2" t="s">
        <v>28</v>
      </c>
      <c r="G163" s="2" t="s">
        <v>92</v>
      </c>
      <c r="H163" s="2" t="s">
        <v>506</v>
      </c>
      <c r="I163" s="2" t="s">
        <v>92</v>
      </c>
      <c r="J163" s="2" t="s">
        <v>92</v>
      </c>
      <c r="K163" s="2" t="s">
        <v>114</v>
      </c>
      <c r="L163" s="2" t="s">
        <v>32</v>
      </c>
      <c r="M163" s="3">
        <v>52.5</v>
      </c>
      <c r="N163" s="3">
        <v>1.55</v>
      </c>
      <c r="O163" s="3">
        <v>0.28000000000000003</v>
      </c>
      <c r="P163" s="3">
        <v>50.67</v>
      </c>
      <c r="Q163" s="3">
        <v>0</v>
      </c>
      <c r="R163" s="2" t="s">
        <v>491</v>
      </c>
      <c r="S163" s="2" t="s">
        <v>34</v>
      </c>
      <c r="T163" s="2" t="s">
        <v>507</v>
      </c>
      <c r="U163" s="2" t="s">
        <v>63</v>
      </c>
      <c r="V163" s="2" t="s">
        <v>508</v>
      </c>
      <c r="W163" s="2">
        <v>532656</v>
      </c>
      <c r="X163" s="2"/>
      <c r="Y163" s="2"/>
      <c r="Z163">
        <v>604</v>
      </c>
      <c r="AA163" t="s">
        <v>433</v>
      </c>
    </row>
    <row r="164" spans="1:27" x14ac:dyDescent="0.25">
      <c r="A164" s="4" t="str">
        <f t="shared" si="5"/>
        <v>2121-N7QYWS</v>
      </c>
      <c r="B164" s="18" t="str">
        <f t="shared" si="4"/>
        <v>SERIE: CD8R8313- POS CONTACTLESS CHIP -  VAUCHER N° 0000470 -  OP: N7QYWS</v>
      </c>
      <c r="C164" s="2" t="s">
        <v>428</v>
      </c>
      <c r="D164" s="2" t="s">
        <v>26</v>
      </c>
      <c r="E164" s="2" t="s">
        <v>27</v>
      </c>
      <c r="F164" s="2" t="s">
        <v>28</v>
      </c>
      <c r="G164" s="2" t="s">
        <v>92</v>
      </c>
      <c r="H164" s="2" t="s">
        <v>509</v>
      </c>
      <c r="I164" s="2" t="s">
        <v>92</v>
      </c>
      <c r="J164" s="2" t="s">
        <v>92</v>
      </c>
      <c r="K164" s="2" t="s">
        <v>114</v>
      </c>
      <c r="L164" s="2" t="s">
        <v>32</v>
      </c>
      <c r="M164" s="3">
        <v>120</v>
      </c>
      <c r="N164" s="3">
        <v>4.79</v>
      </c>
      <c r="O164" s="3">
        <v>0.86</v>
      </c>
      <c r="P164" s="3">
        <v>114.35</v>
      </c>
      <c r="Q164" s="3">
        <v>0</v>
      </c>
      <c r="R164" s="2" t="s">
        <v>491</v>
      </c>
      <c r="S164" s="2" t="s">
        <v>34</v>
      </c>
      <c r="T164" s="2" t="s">
        <v>510</v>
      </c>
      <c r="U164" s="2" t="s">
        <v>63</v>
      </c>
      <c r="V164" s="2" t="s">
        <v>511</v>
      </c>
      <c r="W164" s="2" t="s">
        <v>512</v>
      </c>
      <c r="X164" s="2"/>
      <c r="Y164" s="2"/>
      <c r="Z164">
        <v>604</v>
      </c>
      <c r="AA164" t="s">
        <v>433</v>
      </c>
    </row>
    <row r="165" spans="1:27" x14ac:dyDescent="0.25">
      <c r="A165" s="4" t="str">
        <f t="shared" si="5"/>
        <v>2121-375052</v>
      </c>
      <c r="B165" s="18" t="str">
        <f t="shared" si="4"/>
        <v>SERIE: CD8R8313- POS CONTACTLESS CHIP -  VAUCHER N° 0000468 -  OP: 375052</v>
      </c>
      <c r="C165" s="2" t="s">
        <v>428</v>
      </c>
      <c r="D165" s="2" t="s">
        <v>26</v>
      </c>
      <c r="E165" s="2" t="s">
        <v>27</v>
      </c>
      <c r="F165" s="2" t="s">
        <v>28</v>
      </c>
      <c r="G165" s="2" t="s">
        <v>92</v>
      </c>
      <c r="H165" s="2" t="s">
        <v>513</v>
      </c>
      <c r="I165" s="2" t="s">
        <v>92</v>
      </c>
      <c r="J165" s="2" t="s">
        <v>92</v>
      </c>
      <c r="K165" s="2" t="s">
        <v>114</v>
      </c>
      <c r="L165" s="2" t="s">
        <v>32</v>
      </c>
      <c r="M165" s="3">
        <v>52.5</v>
      </c>
      <c r="N165" s="3">
        <v>1.55</v>
      </c>
      <c r="O165" s="3">
        <v>0.28000000000000003</v>
      </c>
      <c r="P165" s="3">
        <v>50.67</v>
      </c>
      <c r="Q165" s="3">
        <v>0</v>
      </c>
      <c r="R165" s="2" t="s">
        <v>491</v>
      </c>
      <c r="S165" s="2" t="s">
        <v>34</v>
      </c>
      <c r="T165" s="2" t="s">
        <v>514</v>
      </c>
      <c r="U165" s="2" t="s">
        <v>36</v>
      </c>
      <c r="V165" s="2" t="s">
        <v>515</v>
      </c>
      <c r="W165" s="2">
        <v>375052</v>
      </c>
      <c r="X165" s="2"/>
      <c r="Y165" s="2"/>
      <c r="Z165">
        <v>604</v>
      </c>
      <c r="AA165" t="s">
        <v>433</v>
      </c>
    </row>
    <row r="166" spans="1:27" x14ac:dyDescent="0.25">
      <c r="A166" s="4" t="str">
        <f t="shared" si="5"/>
        <v>2121-647800</v>
      </c>
      <c r="B166" s="18" t="str">
        <f t="shared" si="4"/>
        <v>SERIE: CD8R8313- POS CONTACTLESS CHIP -  VAUCHER N° 0000466 -  OP: 647800</v>
      </c>
      <c r="C166" s="2" t="s">
        <v>428</v>
      </c>
      <c r="D166" s="2" t="s">
        <v>26</v>
      </c>
      <c r="E166" s="2" t="s">
        <v>27</v>
      </c>
      <c r="F166" s="2" t="s">
        <v>28</v>
      </c>
      <c r="G166" s="2" t="s">
        <v>92</v>
      </c>
      <c r="H166" s="2" t="s">
        <v>516</v>
      </c>
      <c r="I166" s="2" t="s">
        <v>92</v>
      </c>
      <c r="J166" s="2" t="s">
        <v>92</v>
      </c>
      <c r="K166" s="2" t="s">
        <v>114</v>
      </c>
      <c r="L166" s="2" t="s">
        <v>32</v>
      </c>
      <c r="M166" s="3">
        <v>35</v>
      </c>
      <c r="N166" s="3">
        <v>1.04</v>
      </c>
      <c r="O166" s="3">
        <v>0.19</v>
      </c>
      <c r="P166" s="3">
        <v>33.770000000000003</v>
      </c>
      <c r="Q166" s="3">
        <v>0</v>
      </c>
      <c r="R166" s="2" t="s">
        <v>491</v>
      </c>
      <c r="S166" s="2" t="s">
        <v>34</v>
      </c>
      <c r="T166" s="2" t="s">
        <v>517</v>
      </c>
      <c r="U166" s="2" t="s">
        <v>36</v>
      </c>
      <c r="V166" s="2" t="s">
        <v>518</v>
      </c>
      <c r="W166" s="2">
        <v>647800</v>
      </c>
      <c r="X166" s="2"/>
      <c r="Y166" s="2"/>
      <c r="Z166">
        <v>604</v>
      </c>
      <c r="AA166" t="s">
        <v>433</v>
      </c>
    </row>
    <row r="167" spans="1:27" x14ac:dyDescent="0.25">
      <c r="A167" s="4" t="str">
        <f t="shared" si="5"/>
        <v>2121-870314</v>
      </c>
      <c r="B167" s="18" t="str">
        <f t="shared" si="4"/>
        <v>SERIE: CD8R8313- POS CONTACTLESS CHIP -  VAUCHER N° 0000461 -  OP: 870314</v>
      </c>
      <c r="C167" s="2" t="s">
        <v>428</v>
      </c>
      <c r="D167" s="2" t="s">
        <v>26</v>
      </c>
      <c r="E167" s="2" t="s">
        <v>27</v>
      </c>
      <c r="F167" s="2" t="s">
        <v>28</v>
      </c>
      <c r="G167" s="2" t="s">
        <v>92</v>
      </c>
      <c r="H167" s="2" t="s">
        <v>519</v>
      </c>
      <c r="I167" s="2" t="s">
        <v>92</v>
      </c>
      <c r="J167" s="2" t="s">
        <v>92</v>
      </c>
      <c r="K167" s="2" t="s">
        <v>114</v>
      </c>
      <c r="L167" s="2" t="s">
        <v>32</v>
      </c>
      <c r="M167" s="3">
        <v>370</v>
      </c>
      <c r="N167" s="3">
        <v>10.95</v>
      </c>
      <c r="O167" s="3">
        <v>1.97</v>
      </c>
      <c r="P167" s="3">
        <v>357.08</v>
      </c>
      <c r="Q167" s="3">
        <v>0</v>
      </c>
      <c r="R167" s="2" t="s">
        <v>491</v>
      </c>
      <c r="S167" s="2" t="s">
        <v>34</v>
      </c>
      <c r="T167" s="2" t="s">
        <v>520</v>
      </c>
      <c r="U167" s="2" t="s">
        <v>36</v>
      </c>
      <c r="V167" s="2" t="s">
        <v>521</v>
      </c>
      <c r="W167" s="2">
        <v>870314</v>
      </c>
      <c r="X167" s="2"/>
      <c r="Y167" s="2"/>
      <c r="Z167">
        <v>604</v>
      </c>
      <c r="AA167" t="s">
        <v>433</v>
      </c>
    </row>
    <row r="168" spans="1:27" x14ac:dyDescent="0.25">
      <c r="A168" s="4" t="str">
        <f t="shared" si="5"/>
        <v>2121-678477</v>
      </c>
      <c r="B168" s="18" t="str">
        <f t="shared" si="4"/>
        <v>SERIE: CD8R8313- POS CONTACTLESS CHIP -  VAUCHER N° 0000451 -  OP: 678477</v>
      </c>
      <c r="C168" s="2" t="s">
        <v>428</v>
      </c>
      <c r="D168" s="2" t="s">
        <v>26</v>
      </c>
      <c r="E168" s="2" t="s">
        <v>27</v>
      </c>
      <c r="F168" s="2" t="s">
        <v>28</v>
      </c>
      <c r="G168" s="2" t="s">
        <v>92</v>
      </c>
      <c r="H168" s="2" t="s">
        <v>522</v>
      </c>
      <c r="I168" s="2" t="s">
        <v>92</v>
      </c>
      <c r="J168" s="2" t="s">
        <v>92</v>
      </c>
      <c r="K168" s="2" t="s">
        <v>114</v>
      </c>
      <c r="L168" s="2" t="s">
        <v>32</v>
      </c>
      <c r="M168" s="3">
        <v>40</v>
      </c>
      <c r="N168" s="3">
        <v>1.18</v>
      </c>
      <c r="O168" s="3">
        <v>0.21</v>
      </c>
      <c r="P168" s="3">
        <v>38.61</v>
      </c>
      <c r="Q168" s="3">
        <v>0</v>
      </c>
      <c r="R168" s="2" t="s">
        <v>491</v>
      </c>
      <c r="S168" s="2" t="s">
        <v>34</v>
      </c>
      <c r="T168" s="2" t="s">
        <v>523</v>
      </c>
      <c r="U168" s="2" t="s">
        <v>36</v>
      </c>
      <c r="V168" s="2" t="s">
        <v>458</v>
      </c>
      <c r="W168" s="2">
        <v>678477</v>
      </c>
      <c r="X168" s="2"/>
      <c r="Y168" s="2"/>
      <c r="Z168">
        <v>604</v>
      </c>
      <c r="AA168" t="s">
        <v>433</v>
      </c>
    </row>
    <row r="169" spans="1:27" x14ac:dyDescent="0.25">
      <c r="A169" s="4" t="str">
        <f t="shared" si="5"/>
        <v>2121-052644</v>
      </c>
      <c r="B169" s="18" t="str">
        <f t="shared" si="4"/>
        <v>SERIE: MPP001LL3- POS QR -  VAUCHER N° 0005711 -  OP: 052644</v>
      </c>
      <c r="C169" s="2" t="s">
        <v>428</v>
      </c>
      <c r="D169" s="2" t="s">
        <v>26</v>
      </c>
      <c r="E169" s="2" t="s">
        <v>43</v>
      </c>
      <c r="F169" s="2" t="s">
        <v>28</v>
      </c>
      <c r="G169" s="2" t="s">
        <v>114</v>
      </c>
      <c r="H169" s="2" t="s">
        <v>524</v>
      </c>
      <c r="I169" s="2" t="s">
        <v>135</v>
      </c>
      <c r="J169" s="2" t="s">
        <v>114</v>
      </c>
      <c r="K169" s="2" t="s">
        <v>136</v>
      </c>
      <c r="L169" s="2" t="s">
        <v>32</v>
      </c>
      <c r="M169" s="3">
        <v>165</v>
      </c>
      <c r="N169" s="3">
        <v>4.88</v>
      </c>
      <c r="O169" s="3">
        <v>0.88</v>
      </c>
      <c r="P169" s="3">
        <v>159.24</v>
      </c>
      <c r="Q169" s="3">
        <v>1843.59</v>
      </c>
      <c r="R169" s="2" t="s">
        <v>525</v>
      </c>
      <c r="S169" s="2" t="s">
        <v>45</v>
      </c>
      <c r="T169" s="2" t="s">
        <v>526</v>
      </c>
      <c r="U169" s="2" t="s">
        <v>36</v>
      </c>
      <c r="V169" s="2" t="s">
        <v>527</v>
      </c>
      <c r="W169" s="2" t="s">
        <v>528</v>
      </c>
      <c r="X169" s="2"/>
      <c r="Y169" s="2"/>
      <c r="Z169">
        <v>604</v>
      </c>
      <c r="AA169" t="s">
        <v>48</v>
      </c>
    </row>
    <row r="170" spans="1:27" x14ac:dyDescent="0.25">
      <c r="A170" s="4" t="str">
        <f t="shared" si="5"/>
        <v>2121-104966</v>
      </c>
      <c r="B170" s="18" t="str">
        <f t="shared" si="4"/>
        <v>SERIE: MPP001LL3- POS QR -  VAUCHER N° 2040313 -  OP: 104966</v>
      </c>
      <c r="C170" s="2" t="s">
        <v>428</v>
      </c>
      <c r="D170" s="2" t="s">
        <v>26</v>
      </c>
      <c r="E170" s="2" t="s">
        <v>43</v>
      </c>
      <c r="F170" s="2" t="s">
        <v>28</v>
      </c>
      <c r="G170" s="2" t="s">
        <v>114</v>
      </c>
      <c r="H170" s="2" t="s">
        <v>529</v>
      </c>
      <c r="I170" s="2" t="s">
        <v>135</v>
      </c>
      <c r="J170" s="2" t="s">
        <v>114</v>
      </c>
      <c r="K170" s="2" t="s">
        <v>136</v>
      </c>
      <c r="L170" s="2" t="s">
        <v>32</v>
      </c>
      <c r="M170" s="3">
        <v>45</v>
      </c>
      <c r="N170" s="3">
        <v>1.33</v>
      </c>
      <c r="O170" s="3">
        <v>0.24</v>
      </c>
      <c r="P170" s="3">
        <v>43.43</v>
      </c>
      <c r="Q170" s="3">
        <v>0</v>
      </c>
      <c r="R170" s="2" t="s">
        <v>525</v>
      </c>
      <c r="S170" s="2" t="s">
        <v>45</v>
      </c>
      <c r="T170" s="2">
        <v>2040313</v>
      </c>
      <c r="U170" s="2" t="s">
        <v>36</v>
      </c>
      <c r="V170" s="2" t="s">
        <v>530</v>
      </c>
      <c r="W170" s="2">
        <v>104966</v>
      </c>
      <c r="X170" s="2"/>
      <c r="Y170" s="2"/>
      <c r="Z170">
        <v>604</v>
      </c>
      <c r="AA170" t="s">
        <v>48</v>
      </c>
    </row>
    <row r="171" spans="1:27" x14ac:dyDescent="0.25">
      <c r="A171" s="4" t="str">
        <f t="shared" si="5"/>
        <v>2121-008005</v>
      </c>
      <c r="B171" s="18" t="str">
        <f t="shared" si="4"/>
        <v>SERIE: CD8R8313- POS CONTACTLESS CHIP -  VAUCHER N° 0000507 -  OP: 008005</v>
      </c>
      <c r="C171" s="2" t="s">
        <v>428</v>
      </c>
      <c r="D171" s="2" t="s">
        <v>26</v>
      </c>
      <c r="E171" s="2" t="s">
        <v>27</v>
      </c>
      <c r="F171" s="2" t="s">
        <v>28</v>
      </c>
      <c r="G171" s="2" t="s">
        <v>114</v>
      </c>
      <c r="H171" s="2" t="s">
        <v>531</v>
      </c>
      <c r="I171" s="2" t="s">
        <v>114</v>
      </c>
      <c r="J171" s="2" t="s">
        <v>114</v>
      </c>
      <c r="K171" s="2" t="s">
        <v>136</v>
      </c>
      <c r="L171" s="2" t="s">
        <v>32</v>
      </c>
      <c r="M171" s="3">
        <v>180</v>
      </c>
      <c r="N171" s="3">
        <v>5.33</v>
      </c>
      <c r="O171" s="3">
        <v>0.96</v>
      </c>
      <c r="P171" s="3">
        <v>173.71</v>
      </c>
      <c r="Q171" s="3">
        <v>0</v>
      </c>
      <c r="R171" s="2" t="s">
        <v>525</v>
      </c>
      <c r="S171" s="2" t="s">
        <v>34</v>
      </c>
      <c r="T171" s="2" t="s">
        <v>532</v>
      </c>
      <c r="U171" s="2" t="s">
        <v>36</v>
      </c>
      <c r="V171" s="2" t="s">
        <v>533</v>
      </c>
      <c r="W171" s="2" t="s">
        <v>534</v>
      </c>
      <c r="X171" s="2"/>
      <c r="Y171" s="2"/>
      <c r="Z171">
        <v>604</v>
      </c>
      <c r="AA171" t="s">
        <v>433</v>
      </c>
    </row>
    <row r="172" spans="1:27" x14ac:dyDescent="0.25">
      <c r="A172" s="4" t="str">
        <f t="shared" si="5"/>
        <v>2121-002023</v>
      </c>
      <c r="B172" s="18" t="str">
        <f t="shared" si="4"/>
        <v>SERIE: CD8R8313- POS CONTACTLESS CHIP -  VAUCHER N° 0000505 -  OP: 002023</v>
      </c>
      <c r="C172" s="2" t="s">
        <v>428</v>
      </c>
      <c r="D172" s="2" t="s">
        <v>26</v>
      </c>
      <c r="E172" s="2" t="s">
        <v>27</v>
      </c>
      <c r="F172" s="2" t="s">
        <v>28</v>
      </c>
      <c r="G172" s="2" t="s">
        <v>114</v>
      </c>
      <c r="H172" s="2" t="s">
        <v>535</v>
      </c>
      <c r="I172" s="2" t="s">
        <v>114</v>
      </c>
      <c r="J172" s="2" t="s">
        <v>114</v>
      </c>
      <c r="K172" s="2" t="s">
        <v>136</v>
      </c>
      <c r="L172" s="2" t="s">
        <v>32</v>
      </c>
      <c r="M172" s="3">
        <v>45</v>
      </c>
      <c r="N172" s="3">
        <v>1.33</v>
      </c>
      <c r="O172" s="3">
        <v>0.24</v>
      </c>
      <c r="P172" s="3">
        <v>43.43</v>
      </c>
      <c r="Q172" s="3">
        <v>0</v>
      </c>
      <c r="R172" s="2" t="s">
        <v>525</v>
      </c>
      <c r="S172" s="2" t="s">
        <v>34</v>
      </c>
      <c r="T172" s="2" t="s">
        <v>536</v>
      </c>
      <c r="U172" s="2" t="s">
        <v>36</v>
      </c>
      <c r="V172" s="2" t="s">
        <v>537</v>
      </c>
      <c r="W172" s="2" t="s">
        <v>538</v>
      </c>
      <c r="X172" s="2"/>
      <c r="Y172" s="2"/>
      <c r="Z172">
        <v>604</v>
      </c>
      <c r="AA172" t="s">
        <v>433</v>
      </c>
    </row>
    <row r="173" spans="1:27" x14ac:dyDescent="0.25">
      <c r="A173" s="4" t="str">
        <f t="shared" si="5"/>
        <v>2121-540692</v>
      </c>
      <c r="B173" s="18" t="str">
        <f t="shared" si="4"/>
        <v>SERIE: CD8R8313- POS CONTACTLESS CHIP -  VAUCHER N° 0000503 -  OP: 540692</v>
      </c>
      <c r="C173" s="2" t="s">
        <v>428</v>
      </c>
      <c r="D173" s="2" t="s">
        <v>26</v>
      </c>
      <c r="E173" s="2" t="s">
        <v>27</v>
      </c>
      <c r="F173" s="2" t="s">
        <v>28</v>
      </c>
      <c r="G173" s="2" t="s">
        <v>114</v>
      </c>
      <c r="H173" s="2" t="s">
        <v>539</v>
      </c>
      <c r="I173" s="2" t="s">
        <v>114</v>
      </c>
      <c r="J173" s="2" t="s">
        <v>114</v>
      </c>
      <c r="K173" s="2" t="s">
        <v>136</v>
      </c>
      <c r="L173" s="2" t="s">
        <v>32</v>
      </c>
      <c r="M173" s="3">
        <v>35</v>
      </c>
      <c r="N173" s="3">
        <v>1.04</v>
      </c>
      <c r="O173" s="3">
        <v>0.19</v>
      </c>
      <c r="P173" s="3">
        <v>33.770000000000003</v>
      </c>
      <c r="Q173" s="3">
        <v>0</v>
      </c>
      <c r="R173" s="2" t="s">
        <v>525</v>
      </c>
      <c r="S173" s="2" t="s">
        <v>34</v>
      </c>
      <c r="T173" s="2" t="s">
        <v>540</v>
      </c>
      <c r="U173" s="2" t="s">
        <v>36</v>
      </c>
      <c r="V173" s="2" t="s">
        <v>541</v>
      </c>
      <c r="W173" s="2">
        <v>540692</v>
      </c>
      <c r="X173" s="2"/>
      <c r="Y173" s="2"/>
      <c r="Z173">
        <v>604</v>
      </c>
      <c r="AA173" t="s">
        <v>433</v>
      </c>
    </row>
    <row r="174" spans="1:27" x14ac:dyDescent="0.25">
      <c r="A174" s="4" t="str">
        <f t="shared" si="5"/>
        <v>2121-824701</v>
      </c>
      <c r="B174" s="18" t="str">
        <f t="shared" si="4"/>
        <v>SERIE: CD8R8313- POS CONTACTLESS CHIP -  VAUCHER N° 0000501 -  OP: 824701</v>
      </c>
      <c r="C174" s="2" t="s">
        <v>428</v>
      </c>
      <c r="D174" s="2" t="s">
        <v>26</v>
      </c>
      <c r="E174" s="2" t="s">
        <v>27</v>
      </c>
      <c r="F174" s="2" t="s">
        <v>28</v>
      </c>
      <c r="G174" s="2" t="s">
        <v>114</v>
      </c>
      <c r="H174" s="2" t="s">
        <v>542</v>
      </c>
      <c r="I174" s="2" t="s">
        <v>114</v>
      </c>
      <c r="J174" s="2" t="s">
        <v>114</v>
      </c>
      <c r="K174" s="2" t="s">
        <v>136</v>
      </c>
      <c r="L174" s="2" t="s">
        <v>32</v>
      </c>
      <c r="M174" s="3">
        <v>52.5</v>
      </c>
      <c r="N174" s="3">
        <v>1.55</v>
      </c>
      <c r="O174" s="3">
        <v>0.28000000000000003</v>
      </c>
      <c r="P174" s="3">
        <v>50.67</v>
      </c>
      <c r="Q174" s="3">
        <v>0</v>
      </c>
      <c r="R174" s="2" t="s">
        <v>525</v>
      </c>
      <c r="S174" s="2" t="s">
        <v>34</v>
      </c>
      <c r="T174" s="2" t="s">
        <v>543</v>
      </c>
      <c r="U174" s="2" t="s">
        <v>36</v>
      </c>
      <c r="V174" s="2" t="s">
        <v>544</v>
      </c>
      <c r="W174" s="2">
        <v>824701</v>
      </c>
      <c r="X174" s="2"/>
      <c r="Y174" s="2"/>
      <c r="Z174">
        <v>604</v>
      </c>
      <c r="AA174" t="s">
        <v>433</v>
      </c>
    </row>
    <row r="175" spans="1:27" x14ac:dyDescent="0.25">
      <c r="A175" s="4" t="str">
        <f t="shared" si="5"/>
        <v>2121-447823</v>
      </c>
      <c r="B175" s="18" t="str">
        <f t="shared" si="4"/>
        <v>SERIE: CD8R8313- POS CONTACTLESS CHIP -  VAUCHER N° 0000496 -  OP: 447823</v>
      </c>
      <c r="C175" s="2" t="s">
        <v>428</v>
      </c>
      <c r="D175" s="2" t="s">
        <v>26</v>
      </c>
      <c r="E175" s="2" t="s">
        <v>27</v>
      </c>
      <c r="F175" s="2" t="s">
        <v>28</v>
      </c>
      <c r="G175" s="2" t="s">
        <v>114</v>
      </c>
      <c r="H175" s="2" t="s">
        <v>545</v>
      </c>
      <c r="I175" s="2" t="s">
        <v>114</v>
      </c>
      <c r="J175" s="2" t="s">
        <v>114</v>
      </c>
      <c r="K175" s="2" t="s">
        <v>136</v>
      </c>
      <c r="L175" s="2" t="s">
        <v>32</v>
      </c>
      <c r="M175" s="3">
        <v>115</v>
      </c>
      <c r="N175" s="3">
        <v>3.4</v>
      </c>
      <c r="O175" s="3">
        <v>0.61</v>
      </c>
      <c r="P175" s="3">
        <v>110.99</v>
      </c>
      <c r="Q175" s="3">
        <v>0</v>
      </c>
      <c r="R175" s="2" t="s">
        <v>525</v>
      </c>
      <c r="S175" s="2" t="s">
        <v>34</v>
      </c>
      <c r="T175" s="2" t="s">
        <v>546</v>
      </c>
      <c r="U175" s="2" t="s">
        <v>36</v>
      </c>
      <c r="V175" s="2" t="s">
        <v>547</v>
      </c>
      <c r="W175" s="2">
        <v>447823</v>
      </c>
      <c r="X175" s="2"/>
      <c r="Y175" s="2"/>
      <c r="Z175">
        <v>604</v>
      </c>
      <c r="AA175" t="s">
        <v>433</v>
      </c>
    </row>
    <row r="176" spans="1:27" x14ac:dyDescent="0.25">
      <c r="A176" s="4" t="str">
        <f t="shared" si="5"/>
        <v>2121-261842</v>
      </c>
      <c r="B176" s="18" t="str">
        <f t="shared" si="4"/>
        <v>SERIE: CD8R8313- POS CONTACTLESS CHIP -  VAUCHER N° 0000494 -  OP: 261842</v>
      </c>
      <c r="C176" s="2" t="s">
        <v>428</v>
      </c>
      <c r="D176" s="2" t="s">
        <v>26</v>
      </c>
      <c r="E176" s="2" t="s">
        <v>27</v>
      </c>
      <c r="F176" s="2" t="s">
        <v>28</v>
      </c>
      <c r="G176" s="2" t="s">
        <v>114</v>
      </c>
      <c r="H176" s="2" t="s">
        <v>548</v>
      </c>
      <c r="I176" s="2" t="s">
        <v>114</v>
      </c>
      <c r="J176" s="2" t="s">
        <v>114</v>
      </c>
      <c r="K176" s="2" t="s">
        <v>136</v>
      </c>
      <c r="L176" s="2" t="s">
        <v>32</v>
      </c>
      <c r="M176" s="3">
        <v>90</v>
      </c>
      <c r="N176" s="3">
        <v>2.66</v>
      </c>
      <c r="O176" s="3">
        <v>0.48</v>
      </c>
      <c r="P176" s="3">
        <v>86.86</v>
      </c>
      <c r="Q176" s="3">
        <v>0</v>
      </c>
      <c r="R176" s="2" t="s">
        <v>525</v>
      </c>
      <c r="S176" s="2" t="s">
        <v>34</v>
      </c>
      <c r="T176" s="2" t="s">
        <v>549</v>
      </c>
      <c r="U176" s="2" t="s">
        <v>36</v>
      </c>
      <c r="V176" s="2" t="s">
        <v>550</v>
      </c>
      <c r="W176" s="2">
        <v>261842</v>
      </c>
      <c r="X176" s="2"/>
      <c r="Y176" s="2"/>
      <c r="Z176">
        <v>604</v>
      </c>
      <c r="AA176" t="s">
        <v>433</v>
      </c>
    </row>
    <row r="177" spans="1:27" x14ac:dyDescent="0.25">
      <c r="A177" s="4" t="str">
        <f t="shared" si="5"/>
        <v>2121-443069</v>
      </c>
      <c r="B177" s="18" t="str">
        <f t="shared" si="4"/>
        <v>SERIE: CD8R8313- POS CHIP EMV -  VAUCHER N° 0000489 -  OP: 443069</v>
      </c>
      <c r="C177" s="2" t="s">
        <v>428</v>
      </c>
      <c r="D177" s="2" t="s">
        <v>26</v>
      </c>
      <c r="E177" s="2" t="s">
        <v>551</v>
      </c>
      <c r="F177" s="2" t="s">
        <v>28</v>
      </c>
      <c r="G177" s="2" t="s">
        <v>114</v>
      </c>
      <c r="H177" s="2" t="s">
        <v>552</v>
      </c>
      <c r="I177" s="2" t="s">
        <v>114</v>
      </c>
      <c r="J177" s="2" t="s">
        <v>114</v>
      </c>
      <c r="K177" s="2" t="s">
        <v>136</v>
      </c>
      <c r="L177" s="2" t="s">
        <v>32</v>
      </c>
      <c r="M177" s="3">
        <v>1182.8</v>
      </c>
      <c r="N177" s="3">
        <v>35.01</v>
      </c>
      <c r="O177" s="3">
        <v>6.3</v>
      </c>
      <c r="P177" s="3">
        <v>1141.49</v>
      </c>
      <c r="Q177" s="3">
        <v>0</v>
      </c>
      <c r="R177" s="2" t="s">
        <v>525</v>
      </c>
      <c r="S177" s="2" t="s">
        <v>34</v>
      </c>
      <c r="T177" s="2" t="s">
        <v>553</v>
      </c>
      <c r="U177" s="2" t="s">
        <v>36</v>
      </c>
      <c r="V177" s="2" t="s">
        <v>554</v>
      </c>
      <c r="W177" s="2">
        <v>443069</v>
      </c>
      <c r="X177" s="2"/>
      <c r="Y177" s="2"/>
      <c r="Z177">
        <v>604</v>
      </c>
      <c r="AA177" t="s">
        <v>433</v>
      </c>
    </row>
    <row r="178" spans="1:27" x14ac:dyDescent="0.25">
      <c r="A178" s="4" t="str">
        <f t="shared" si="5"/>
        <v>2121-215548</v>
      </c>
      <c r="B178" s="18" t="str">
        <f t="shared" si="4"/>
        <v>SERIE: CD8R8313- POS CONTACTLESS CHIP -  VAUCHER N° 0000528 -  OP: 215548</v>
      </c>
      <c r="C178" s="2" t="s">
        <v>428</v>
      </c>
      <c r="D178" s="2" t="s">
        <v>26</v>
      </c>
      <c r="E178" s="2" t="s">
        <v>27</v>
      </c>
      <c r="F178" s="2" t="s">
        <v>28</v>
      </c>
      <c r="G178" s="2" t="s">
        <v>136</v>
      </c>
      <c r="H178" s="2" t="s">
        <v>555</v>
      </c>
      <c r="I178" s="2" t="s">
        <v>136</v>
      </c>
      <c r="J178" s="2" t="s">
        <v>136</v>
      </c>
      <c r="K178" s="2" t="s">
        <v>150</v>
      </c>
      <c r="L178" s="2" t="s">
        <v>32</v>
      </c>
      <c r="M178" s="3">
        <v>247.5</v>
      </c>
      <c r="N178" s="3">
        <v>7.33</v>
      </c>
      <c r="O178" s="3">
        <v>1.32</v>
      </c>
      <c r="P178" s="3">
        <v>238.85</v>
      </c>
      <c r="Q178" s="3">
        <v>704.5</v>
      </c>
      <c r="R178" s="2" t="s">
        <v>556</v>
      </c>
      <c r="S178" s="2" t="s">
        <v>34</v>
      </c>
      <c r="T178" s="2" t="s">
        <v>557</v>
      </c>
      <c r="U178" s="2" t="s">
        <v>36</v>
      </c>
      <c r="V178" s="2" t="s">
        <v>558</v>
      </c>
      <c r="W178" s="2">
        <v>215548</v>
      </c>
      <c r="X178" s="2"/>
      <c r="Y178" s="2"/>
      <c r="Z178">
        <v>604</v>
      </c>
      <c r="AA178" t="s">
        <v>433</v>
      </c>
    </row>
    <row r="179" spans="1:27" x14ac:dyDescent="0.25">
      <c r="A179" s="4" t="str">
        <f t="shared" si="5"/>
        <v>2121-738284</v>
      </c>
      <c r="B179" s="18" t="str">
        <f t="shared" si="4"/>
        <v>SERIE: CD8R8313- POS CONTACTLESS CHIP -  VAUCHER N° 0000523 -  OP: 738284</v>
      </c>
      <c r="C179" s="2" t="s">
        <v>428</v>
      </c>
      <c r="D179" s="2" t="s">
        <v>26</v>
      </c>
      <c r="E179" s="2" t="s">
        <v>27</v>
      </c>
      <c r="F179" s="2" t="s">
        <v>28</v>
      </c>
      <c r="G179" s="2" t="s">
        <v>136</v>
      </c>
      <c r="H179" s="2" t="s">
        <v>559</v>
      </c>
      <c r="I179" s="2" t="s">
        <v>136</v>
      </c>
      <c r="J179" s="2" t="s">
        <v>136</v>
      </c>
      <c r="K179" s="2" t="s">
        <v>150</v>
      </c>
      <c r="L179" s="2" t="s">
        <v>32</v>
      </c>
      <c r="M179" s="3">
        <v>52.5</v>
      </c>
      <c r="N179" s="3">
        <v>1.55</v>
      </c>
      <c r="O179" s="3">
        <v>0.28000000000000003</v>
      </c>
      <c r="P179" s="3">
        <v>50.67</v>
      </c>
      <c r="Q179" s="3">
        <v>0</v>
      </c>
      <c r="R179" s="2" t="s">
        <v>556</v>
      </c>
      <c r="S179" s="2" t="s">
        <v>34</v>
      </c>
      <c r="T179" s="2" t="s">
        <v>560</v>
      </c>
      <c r="U179" s="2" t="s">
        <v>36</v>
      </c>
      <c r="V179" s="2" t="s">
        <v>53</v>
      </c>
      <c r="W179" s="2">
        <v>738284</v>
      </c>
      <c r="X179" s="2"/>
      <c r="Y179" s="2"/>
      <c r="Z179">
        <v>604</v>
      </c>
      <c r="AA179" t="s">
        <v>433</v>
      </c>
    </row>
    <row r="180" spans="1:27" x14ac:dyDescent="0.25">
      <c r="A180" s="4" t="str">
        <f t="shared" si="5"/>
        <v>2121-334254</v>
      </c>
      <c r="B180" s="18" t="str">
        <f t="shared" si="4"/>
        <v>SERIE: CD8R8313- POS CONTACTLESS CHIP -  VAUCHER N° 0000517 -  OP: 334254</v>
      </c>
      <c r="C180" s="2" t="s">
        <v>428</v>
      </c>
      <c r="D180" s="2" t="s">
        <v>26</v>
      </c>
      <c r="E180" s="2" t="s">
        <v>27</v>
      </c>
      <c r="F180" s="2" t="s">
        <v>28</v>
      </c>
      <c r="G180" s="2" t="s">
        <v>136</v>
      </c>
      <c r="H180" s="2" t="s">
        <v>561</v>
      </c>
      <c r="I180" s="2" t="s">
        <v>136</v>
      </c>
      <c r="J180" s="2" t="s">
        <v>136</v>
      </c>
      <c r="K180" s="2" t="s">
        <v>150</v>
      </c>
      <c r="L180" s="2" t="s">
        <v>32</v>
      </c>
      <c r="M180" s="3">
        <v>60</v>
      </c>
      <c r="N180" s="3">
        <v>1.78</v>
      </c>
      <c r="O180" s="3">
        <v>0.32</v>
      </c>
      <c r="P180" s="3">
        <v>57.9</v>
      </c>
      <c r="Q180" s="3">
        <v>0</v>
      </c>
      <c r="R180" s="2" t="s">
        <v>556</v>
      </c>
      <c r="S180" s="2" t="s">
        <v>34</v>
      </c>
      <c r="T180" s="2" t="s">
        <v>562</v>
      </c>
      <c r="U180" s="2" t="s">
        <v>36</v>
      </c>
      <c r="V180" s="2" t="s">
        <v>563</v>
      </c>
      <c r="W180" s="2">
        <v>334254</v>
      </c>
      <c r="X180" s="2"/>
      <c r="Y180" s="2"/>
      <c r="Z180">
        <v>604</v>
      </c>
      <c r="AA180" t="s">
        <v>433</v>
      </c>
    </row>
    <row r="181" spans="1:27" x14ac:dyDescent="0.25">
      <c r="A181" s="4" t="str">
        <f t="shared" si="5"/>
        <v>2121-228989</v>
      </c>
      <c r="B181" s="18" t="str">
        <f t="shared" si="4"/>
        <v>SERIE: MPP001LL3- POS QR -  VAUCHER N° 6037729 -  OP: 228989</v>
      </c>
      <c r="C181" s="2" t="s">
        <v>428</v>
      </c>
      <c r="D181" s="2" t="s">
        <v>26</v>
      </c>
      <c r="E181" s="2" t="s">
        <v>43</v>
      </c>
      <c r="F181" s="2" t="s">
        <v>28</v>
      </c>
      <c r="G181" s="2" t="s">
        <v>136</v>
      </c>
      <c r="H181" s="2" t="s">
        <v>564</v>
      </c>
      <c r="I181" s="2" t="s">
        <v>150</v>
      </c>
      <c r="J181" s="2" t="s">
        <v>136</v>
      </c>
      <c r="K181" s="2" t="s">
        <v>150</v>
      </c>
      <c r="L181" s="2" t="s">
        <v>32</v>
      </c>
      <c r="M181" s="3">
        <v>180</v>
      </c>
      <c r="N181" s="3">
        <v>5.33</v>
      </c>
      <c r="O181" s="3">
        <v>0.96</v>
      </c>
      <c r="P181" s="3">
        <v>173.71</v>
      </c>
      <c r="Q181" s="3">
        <v>0</v>
      </c>
      <c r="R181" s="2" t="s">
        <v>556</v>
      </c>
      <c r="S181" s="2" t="s">
        <v>45</v>
      </c>
      <c r="T181" s="2">
        <v>6037729</v>
      </c>
      <c r="U181" s="2" t="s">
        <v>36</v>
      </c>
      <c r="V181" s="2" t="s">
        <v>565</v>
      </c>
      <c r="W181" s="2">
        <v>228989</v>
      </c>
      <c r="X181" s="2"/>
      <c r="Y181" s="2"/>
      <c r="Z181">
        <v>604</v>
      </c>
      <c r="AA181" t="s">
        <v>48</v>
      </c>
    </row>
    <row r="182" spans="1:27" x14ac:dyDescent="0.25">
      <c r="A182" s="4" t="str">
        <f t="shared" si="5"/>
        <v>2121-109151</v>
      </c>
      <c r="B182" s="18" t="str">
        <f t="shared" si="4"/>
        <v>SERIE: MPP001LL3- POS QR -  VAUCHER N° 2001308 -  OP: 109151</v>
      </c>
      <c r="C182" s="2" t="s">
        <v>428</v>
      </c>
      <c r="D182" s="2" t="s">
        <v>26</v>
      </c>
      <c r="E182" s="2" t="s">
        <v>43</v>
      </c>
      <c r="F182" s="2" t="s">
        <v>28</v>
      </c>
      <c r="G182" s="2" t="s">
        <v>136</v>
      </c>
      <c r="H182" s="2" t="s">
        <v>566</v>
      </c>
      <c r="I182" s="2" t="s">
        <v>150</v>
      </c>
      <c r="J182" s="2" t="s">
        <v>136</v>
      </c>
      <c r="K182" s="2" t="s">
        <v>150</v>
      </c>
      <c r="L182" s="2" t="s">
        <v>32</v>
      </c>
      <c r="M182" s="3">
        <v>190</v>
      </c>
      <c r="N182" s="3">
        <v>5.62</v>
      </c>
      <c r="O182" s="3">
        <v>1.01</v>
      </c>
      <c r="P182" s="3">
        <v>183.37</v>
      </c>
      <c r="Q182" s="3">
        <v>0</v>
      </c>
      <c r="R182" s="2" t="s">
        <v>556</v>
      </c>
      <c r="S182" s="2" t="s">
        <v>45</v>
      </c>
      <c r="T182" s="2">
        <v>2001308</v>
      </c>
      <c r="U182" s="2" t="s">
        <v>36</v>
      </c>
      <c r="V182" s="2" t="s">
        <v>567</v>
      </c>
      <c r="W182" s="2">
        <v>109151</v>
      </c>
      <c r="X182" s="2"/>
      <c r="Y182" s="2"/>
      <c r="Z182">
        <v>604</v>
      </c>
      <c r="AA182" t="s">
        <v>48</v>
      </c>
    </row>
    <row r="183" spans="1:27" x14ac:dyDescent="0.25">
      <c r="A183" s="4" t="str">
        <f t="shared" si="5"/>
        <v>2121-048337</v>
      </c>
      <c r="B183" s="18" t="str">
        <f t="shared" si="4"/>
        <v>SERIE: CD8R8313- POS CONTACTLESS CHIP -  VAUCHER N° 0000546 -  OP: 048337</v>
      </c>
      <c r="C183" s="2" t="s">
        <v>428</v>
      </c>
      <c r="D183" s="2" t="s">
        <v>26</v>
      </c>
      <c r="E183" s="2" t="s">
        <v>27</v>
      </c>
      <c r="F183" s="2" t="s">
        <v>28</v>
      </c>
      <c r="G183" s="2" t="s">
        <v>150</v>
      </c>
      <c r="H183" s="2" t="s">
        <v>568</v>
      </c>
      <c r="I183" s="2" t="s">
        <v>150</v>
      </c>
      <c r="J183" s="2" t="s">
        <v>150</v>
      </c>
      <c r="K183" s="2" t="s">
        <v>170</v>
      </c>
      <c r="L183" s="2" t="s">
        <v>32</v>
      </c>
      <c r="M183" s="3">
        <v>431</v>
      </c>
      <c r="N183" s="3">
        <v>12.76</v>
      </c>
      <c r="O183" s="3">
        <v>2.2999999999999998</v>
      </c>
      <c r="P183" s="3">
        <v>415.94</v>
      </c>
      <c r="Q183" s="3">
        <v>814.03</v>
      </c>
      <c r="R183" s="2" t="s">
        <v>569</v>
      </c>
      <c r="S183" s="2" t="s">
        <v>34</v>
      </c>
      <c r="T183" s="2" t="s">
        <v>570</v>
      </c>
      <c r="U183" s="2" t="s">
        <v>36</v>
      </c>
      <c r="V183" s="2" t="s">
        <v>571</v>
      </c>
      <c r="W183" s="2" t="s">
        <v>572</v>
      </c>
      <c r="X183" s="2" t="s">
        <v>250</v>
      </c>
      <c r="Y183" s="2"/>
      <c r="Z183">
        <v>604</v>
      </c>
      <c r="AA183" t="s">
        <v>433</v>
      </c>
    </row>
    <row r="184" spans="1:27" x14ac:dyDescent="0.25">
      <c r="A184" s="4" t="str">
        <f t="shared" si="5"/>
        <v>2121-158085</v>
      </c>
      <c r="B184" s="18" t="str">
        <f t="shared" si="4"/>
        <v>SERIE: CD8R8313- POS CONTACTLESS CHIP -  VAUCHER N° 0000544 -  OP: 158085</v>
      </c>
      <c r="C184" s="2" t="s">
        <v>428</v>
      </c>
      <c r="D184" s="2" t="s">
        <v>26</v>
      </c>
      <c r="E184" s="2" t="s">
        <v>27</v>
      </c>
      <c r="F184" s="2" t="s">
        <v>28</v>
      </c>
      <c r="G184" s="2" t="s">
        <v>150</v>
      </c>
      <c r="H184" s="2" t="s">
        <v>573</v>
      </c>
      <c r="I184" s="2" t="s">
        <v>150</v>
      </c>
      <c r="J184" s="2" t="s">
        <v>150</v>
      </c>
      <c r="K184" s="2" t="s">
        <v>170</v>
      </c>
      <c r="L184" s="2" t="s">
        <v>32</v>
      </c>
      <c r="M184" s="3">
        <v>165</v>
      </c>
      <c r="N184" s="3">
        <v>4.88</v>
      </c>
      <c r="O184" s="3">
        <v>0.88</v>
      </c>
      <c r="P184" s="3">
        <v>159.24</v>
      </c>
      <c r="Q184" s="3">
        <v>0</v>
      </c>
      <c r="R184" s="2" t="s">
        <v>569</v>
      </c>
      <c r="S184" s="2" t="s">
        <v>34</v>
      </c>
      <c r="T184" s="2" t="s">
        <v>574</v>
      </c>
      <c r="U184" s="2" t="s">
        <v>36</v>
      </c>
      <c r="V184" s="2" t="s">
        <v>521</v>
      </c>
      <c r="W184" s="2">
        <v>158085</v>
      </c>
      <c r="X184" s="2"/>
      <c r="Y184" s="2"/>
      <c r="Z184">
        <v>604</v>
      </c>
      <c r="AA184" t="s">
        <v>433</v>
      </c>
    </row>
    <row r="185" spans="1:27" x14ac:dyDescent="0.25">
      <c r="A185" s="4" t="str">
        <f t="shared" si="5"/>
        <v>2121-205198</v>
      </c>
      <c r="B185" s="18" t="str">
        <f t="shared" si="4"/>
        <v>SERIE: MPP001LL3- POS QR -  VAUCHER N° 6025415 -  OP: 205198</v>
      </c>
      <c r="C185" s="2" t="s">
        <v>428</v>
      </c>
      <c r="D185" s="2" t="s">
        <v>26</v>
      </c>
      <c r="E185" s="2" t="s">
        <v>43</v>
      </c>
      <c r="F185" s="2" t="s">
        <v>28</v>
      </c>
      <c r="G185" s="2" t="s">
        <v>150</v>
      </c>
      <c r="H185" s="2" t="s">
        <v>575</v>
      </c>
      <c r="I185" s="2" t="s">
        <v>150</v>
      </c>
      <c r="J185" s="2" t="s">
        <v>150</v>
      </c>
      <c r="K185" s="2" t="s">
        <v>170</v>
      </c>
      <c r="L185" s="2" t="s">
        <v>32</v>
      </c>
      <c r="M185" s="3">
        <v>50</v>
      </c>
      <c r="N185" s="3">
        <v>1.48</v>
      </c>
      <c r="O185" s="3">
        <v>0.27</v>
      </c>
      <c r="P185" s="3">
        <v>48.25</v>
      </c>
      <c r="Q185" s="3">
        <v>0</v>
      </c>
      <c r="R185" s="2" t="s">
        <v>569</v>
      </c>
      <c r="S185" s="2" t="s">
        <v>45</v>
      </c>
      <c r="T185" s="2">
        <v>6025415</v>
      </c>
      <c r="U185" s="2" t="s">
        <v>36</v>
      </c>
      <c r="V185" s="2" t="s">
        <v>576</v>
      </c>
      <c r="W185" s="2">
        <v>205198</v>
      </c>
      <c r="X185" s="2"/>
      <c r="Y185" s="2"/>
      <c r="Z185">
        <v>604</v>
      </c>
      <c r="AA185" t="s">
        <v>48</v>
      </c>
    </row>
    <row r="186" spans="1:27" x14ac:dyDescent="0.25">
      <c r="A186" s="4" t="str">
        <f t="shared" si="5"/>
        <v>2121-219392</v>
      </c>
      <c r="B186" s="18" t="str">
        <f t="shared" si="4"/>
        <v>SERIE: MPP001LL3- POS QR -  VAUCHER N° 7006513 -  OP: 219392</v>
      </c>
      <c r="C186" s="2" t="s">
        <v>428</v>
      </c>
      <c r="D186" s="2" t="s">
        <v>26</v>
      </c>
      <c r="E186" s="2" t="s">
        <v>43</v>
      </c>
      <c r="F186" s="2" t="s">
        <v>28</v>
      </c>
      <c r="G186" s="2" t="s">
        <v>150</v>
      </c>
      <c r="H186" s="2" t="s">
        <v>577</v>
      </c>
      <c r="I186" s="2" t="s">
        <v>150</v>
      </c>
      <c r="J186" s="2" t="s">
        <v>150</v>
      </c>
      <c r="K186" s="2" t="s">
        <v>170</v>
      </c>
      <c r="L186" s="2" t="s">
        <v>32</v>
      </c>
      <c r="M186" s="3">
        <v>85</v>
      </c>
      <c r="N186" s="3">
        <v>2.52</v>
      </c>
      <c r="O186" s="3">
        <v>0.45</v>
      </c>
      <c r="P186" s="3">
        <v>82.03</v>
      </c>
      <c r="Q186" s="3">
        <v>0</v>
      </c>
      <c r="R186" s="2" t="s">
        <v>569</v>
      </c>
      <c r="S186" s="2" t="s">
        <v>45</v>
      </c>
      <c r="T186" s="2">
        <v>7006513</v>
      </c>
      <c r="U186" s="2" t="s">
        <v>36</v>
      </c>
      <c r="V186" s="2" t="s">
        <v>578</v>
      </c>
      <c r="W186" s="2">
        <v>219392</v>
      </c>
      <c r="X186" s="2"/>
      <c r="Y186" s="2"/>
      <c r="Z186">
        <v>604</v>
      </c>
      <c r="AA186" t="s">
        <v>48</v>
      </c>
    </row>
    <row r="187" spans="1:27" x14ac:dyDescent="0.25">
      <c r="A187" s="4" t="str">
        <f t="shared" si="5"/>
        <v>2121-063936</v>
      </c>
      <c r="B187" s="18" t="str">
        <f t="shared" si="4"/>
        <v>SERIE: MPP001LL3- POS QR -  VAUCHER N° 0019967 -  OP: 063936</v>
      </c>
      <c r="C187" s="2" t="s">
        <v>428</v>
      </c>
      <c r="D187" s="2" t="s">
        <v>26</v>
      </c>
      <c r="E187" s="2" t="s">
        <v>43</v>
      </c>
      <c r="F187" s="2" t="s">
        <v>28</v>
      </c>
      <c r="G187" s="2" t="s">
        <v>150</v>
      </c>
      <c r="H187" s="2" t="s">
        <v>579</v>
      </c>
      <c r="I187" s="2" t="s">
        <v>150</v>
      </c>
      <c r="J187" s="2" t="s">
        <v>150</v>
      </c>
      <c r="K187" s="2" t="s">
        <v>170</v>
      </c>
      <c r="L187" s="2" t="s">
        <v>32</v>
      </c>
      <c r="M187" s="3">
        <v>52.5</v>
      </c>
      <c r="N187" s="3">
        <v>1.55</v>
      </c>
      <c r="O187" s="3">
        <v>0.28000000000000003</v>
      </c>
      <c r="P187" s="3">
        <v>50.67</v>
      </c>
      <c r="Q187" s="3">
        <v>0</v>
      </c>
      <c r="R187" s="2" t="s">
        <v>569</v>
      </c>
      <c r="S187" s="2" t="s">
        <v>45</v>
      </c>
      <c r="T187" s="2" t="s">
        <v>580</v>
      </c>
      <c r="U187" s="2" t="s">
        <v>36</v>
      </c>
      <c r="V187" s="2" t="s">
        <v>404</v>
      </c>
      <c r="W187" s="2" t="s">
        <v>581</v>
      </c>
      <c r="X187" s="2"/>
      <c r="Y187" s="2"/>
      <c r="Z187">
        <v>604</v>
      </c>
      <c r="AA187" t="s">
        <v>48</v>
      </c>
    </row>
    <row r="188" spans="1:27" x14ac:dyDescent="0.25">
      <c r="A188" s="4" t="str">
        <f t="shared" si="5"/>
        <v>2121-075950</v>
      </c>
      <c r="B188" s="18" t="str">
        <f t="shared" si="4"/>
        <v>SERIE: MPP001LL3- POS QR -  VAUCHER N° 1003678 -  OP: 075950</v>
      </c>
      <c r="C188" s="2" t="s">
        <v>428</v>
      </c>
      <c r="D188" s="2" t="s">
        <v>26</v>
      </c>
      <c r="E188" s="2" t="s">
        <v>43</v>
      </c>
      <c r="F188" s="2" t="s">
        <v>28</v>
      </c>
      <c r="G188" s="2" t="s">
        <v>150</v>
      </c>
      <c r="H188" s="2" t="s">
        <v>582</v>
      </c>
      <c r="I188" s="2" t="s">
        <v>150</v>
      </c>
      <c r="J188" s="2" t="s">
        <v>150</v>
      </c>
      <c r="K188" s="2" t="s">
        <v>170</v>
      </c>
      <c r="L188" s="2" t="s">
        <v>32</v>
      </c>
      <c r="M188" s="3">
        <v>60</v>
      </c>
      <c r="N188" s="3">
        <v>1.78</v>
      </c>
      <c r="O188" s="3">
        <v>0.32</v>
      </c>
      <c r="P188" s="3">
        <v>57.9</v>
      </c>
      <c r="Q188" s="3">
        <v>0</v>
      </c>
      <c r="R188" s="2" t="s">
        <v>569</v>
      </c>
      <c r="S188" s="2" t="s">
        <v>45</v>
      </c>
      <c r="T188" s="2">
        <v>1003678</v>
      </c>
      <c r="U188" s="2" t="s">
        <v>36</v>
      </c>
      <c r="V188" s="2" t="s">
        <v>583</v>
      </c>
      <c r="W188" s="2" t="s">
        <v>584</v>
      </c>
      <c r="X188" s="2"/>
      <c r="Y188" s="2"/>
      <c r="Z188">
        <v>604</v>
      </c>
      <c r="AA188" t="s">
        <v>48</v>
      </c>
    </row>
    <row r="189" spans="1:27" x14ac:dyDescent="0.25">
      <c r="A189" s="4" t="str">
        <f t="shared" si="5"/>
        <v>2121-130360</v>
      </c>
      <c r="B189" s="18" t="str">
        <f t="shared" si="4"/>
        <v>SERIE: CD8R8313- POS CONTACTLESS CHIP -  VAUCHER N° 0000564 -  OP: 130360</v>
      </c>
      <c r="C189" s="2" t="s">
        <v>428</v>
      </c>
      <c r="D189" s="2" t="s">
        <v>26</v>
      </c>
      <c r="E189" s="2" t="s">
        <v>27</v>
      </c>
      <c r="F189" s="2" t="s">
        <v>28</v>
      </c>
      <c r="G189" s="2" t="s">
        <v>170</v>
      </c>
      <c r="H189" s="2" t="s">
        <v>585</v>
      </c>
      <c r="I189" s="2" t="s">
        <v>170</v>
      </c>
      <c r="J189" s="2" t="s">
        <v>170</v>
      </c>
      <c r="K189" s="2" t="s">
        <v>182</v>
      </c>
      <c r="L189" s="2" t="s">
        <v>32</v>
      </c>
      <c r="M189" s="3">
        <v>58</v>
      </c>
      <c r="N189" s="3">
        <v>1.72</v>
      </c>
      <c r="O189" s="3">
        <v>0.31</v>
      </c>
      <c r="P189" s="3">
        <v>55.97</v>
      </c>
      <c r="Q189" s="3">
        <v>133.16999999999999</v>
      </c>
      <c r="R189" s="2" t="s">
        <v>586</v>
      </c>
      <c r="S189" s="2" t="s">
        <v>34</v>
      </c>
      <c r="T189" s="2" t="s">
        <v>587</v>
      </c>
      <c r="U189" s="2" t="s">
        <v>36</v>
      </c>
      <c r="V189" s="2" t="s">
        <v>588</v>
      </c>
      <c r="W189" s="2">
        <v>130360</v>
      </c>
      <c r="X189" s="2"/>
      <c r="Y189" s="2"/>
      <c r="Z189">
        <v>604</v>
      </c>
      <c r="AA189" t="s">
        <v>433</v>
      </c>
    </row>
    <row r="190" spans="1:27" x14ac:dyDescent="0.25">
      <c r="A190" s="4" t="str">
        <f t="shared" si="5"/>
        <v>2121-343891</v>
      </c>
      <c r="B190" s="18" t="str">
        <f t="shared" si="4"/>
        <v>SERIE: CD8R8313- POS CONTACTLESS CHIP -  VAUCHER N° 0000562 -  OP: 343891</v>
      </c>
      <c r="C190" s="2" t="s">
        <v>428</v>
      </c>
      <c r="D190" s="2" t="s">
        <v>26</v>
      </c>
      <c r="E190" s="2" t="s">
        <v>27</v>
      </c>
      <c r="F190" s="2" t="s">
        <v>28</v>
      </c>
      <c r="G190" s="2" t="s">
        <v>170</v>
      </c>
      <c r="H190" s="2" t="s">
        <v>589</v>
      </c>
      <c r="I190" s="2" t="s">
        <v>170</v>
      </c>
      <c r="J190" s="2" t="s">
        <v>170</v>
      </c>
      <c r="K190" s="2" t="s">
        <v>182</v>
      </c>
      <c r="L190" s="2" t="s">
        <v>32</v>
      </c>
      <c r="M190" s="3">
        <v>80</v>
      </c>
      <c r="N190" s="3">
        <v>2.37</v>
      </c>
      <c r="O190" s="3">
        <v>0.43</v>
      </c>
      <c r="P190" s="3">
        <v>77.2</v>
      </c>
      <c r="Q190" s="3">
        <v>0</v>
      </c>
      <c r="R190" s="2" t="s">
        <v>586</v>
      </c>
      <c r="S190" s="2" t="s">
        <v>34</v>
      </c>
      <c r="T190" s="2" t="s">
        <v>590</v>
      </c>
      <c r="U190" s="2" t="s">
        <v>36</v>
      </c>
      <c r="V190" s="2" t="s">
        <v>591</v>
      </c>
      <c r="W190" s="2">
        <v>343891</v>
      </c>
      <c r="X190" s="2"/>
      <c r="Y190" s="2"/>
      <c r="Z190">
        <v>604</v>
      </c>
      <c r="AA190" t="s">
        <v>433</v>
      </c>
    </row>
    <row r="191" spans="1:27" x14ac:dyDescent="0.25">
      <c r="A191" s="4" t="str">
        <f t="shared" si="5"/>
        <v>2121-567325</v>
      </c>
      <c r="B191" s="18" t="str">
        <f t="shared" si="4"/>
        <v>SERIE: CD8R8313- POS CONTACTLESS CHIP -  VAUCHER N° 0000588 -  OP: 567325</v>
      </c>
      <c r="C191" s="2" t="s">
        <v>428</v>
      </c>
      <c r="D191" s="2" t="s">
        <v>26</v>
      </c>
      <c r="E191" s="2" t="s">
        <v>27</v>
      </c>
      <c r="F191" s="2" t="s">
        <v>28</v>
      </c>
      <c r="G191" s="2" t="s">
        <v>182</v>
      </c>
      <c r="H191" s="2" t="s">
        <v>592</v>
      </c>
      <c r="I191" s="2" t="s">
        <v>182</v>
      </c>
      <c r="J191" s="2" t="s">
        <v>182</v>
      </c>
      <c r="K191" s="2" t="s">
        <v>196</v>
      </c>
      <c r="L191" s="2" t="s">
        <v>32</v>
      </c>
      <c r="M191" s="3">
        <v>90</v>
      </c>
      <c r="N191" s="3">
        <v>2.66</v>
      </c>
      <c r="O191" s="3">
        <v>0.48</v>
      </c>
      <c r="P191" s="3">
        <v>86.86</v>
      </c>
      <c r="Q191" s="3">
        <v>565.03</v>
      </c>
      <c r="R191" s="2" t="s">
        <v>593</v>
      </c>
      <c r="S191" s="2" t="s">
        <v>34</v>
      </c>
      <c r="T191" s="2" t="s">
        <v>594</v>
      </c>
      <c r="U191" s="2" t="s">
        <v>36</v>
      </c>
      <c r="V191" s="2" t="s">
        <v>595</v>
      </c>
      <c r="W191" s="2">
        <v>567325</v>
      </c>
      <c r="X191" s="2"/>
      <c r="Y191" s="2"/>
      <c r="Z191">
        <v>604</v>
      </c>
      <c r="AA191" t="s">
        <v>433</v>
      </c>
    </row>
    <row r="192" spans="1:27" x14ac:dyDescent="0.25">
      <c r="A192" s="4" t="str">
        <f t="shared" si="5"/>
        <v>2121-383948</v>
      </c>
      <c r="B192" s="18" t="str">
        <f t="shared" si="4"/>
        <v>SERIE: CD8R8313- POS CONTACTLESS CHIP -  VAUCHER N° 0000586 -  OP: 383948</v>
      </c>
      <c r="C192" s="2" t="s">
        <v>428</v>
      </c>
      <c r="D192" s="2" t="s">
        <v>26</v>
      </c>
      <c r="E192" s="2" t="s">
        <v>27</v>
      </c>
      <c r="F192" s="2" t="s">
        <v>28</v>
      </c>
      <c r="G192" s="2" t="s">
        <v>182</v>
      </c>
      <c r="H192" s="2" t="s">
        <v>596</v>
      </c>
      <c r="I192" s="2" t="s">
        <v>182</v>
      </c>
      <c r="J192" s="2" t="s">
        <v>182</v>
      </c>
      <c r="K192" s="2" t="s">
        <v>196</v>
      </c>
      <c r="L192" s="2" t="s">
        <v>32</v>
      </c>
      <c r="M192" s="3">
        <v>98</v>
      </c>
      <c r="N192" s="3">
        <v>2.9</v>
      </c>
      <c r="O192" s="3">
        <v>0.52</v>
      </c>
      <c r="P192" s="3">
        <v>94.58</v>
      </c>
      <c r="Q192" s="3">
        <v>0</v>
      </c>
      <c r="R192" s="2" t="s">
        <v>593</v>
      </c>
      <c r="S192" s="2" t="s">
        <v>34</v>
      </c>
      <c r="T192" s="2" t="s">
        <v>597</v>
      </c>
      <c r="U192" s="2" t="s">
        <v>36</v>
      </c>
      <c r="V192" s="2" t="s">
        <v>598</v>
      </c>
      <c r="W192" s="2">
        <v>383948</v>
      </c>
      <c r="X192" s="2"/>
      <c r="Y192" s="2"/>
      <c r="Z192">
        <v>604</v>
      </c>
      <c r="AA192" t="s">
        <v>433</v>
      </c>
    </row>
    <row r="193" spans="1:27" x14ac:dyDescent="0.25">
      <c r="A193" s="4" t="str">
        <f t="shared" si="5"/>
        <v>2121-028958</v>
      </c>
      <c r="B193" s="18" t="str">
        <f t="shared" si="4"/>
        <v>SERIE: CD8R8313- POS CONTACTLESS CHIP -  VAUCHER N° 0000581 -  OP: 028958</v>
      </c>
      <c r="C193" s="2" t="s">
        <v>428</v>
      </c>
      <c r="D193" s="2" t="s">
        <v>26</v>
      </c>
      <c r="E193" s="2" t="s">
        <v>27</v>
      </c>
      <c r="F193" s="2" t="s">
        <v>28</v>
      </c>
      <c r="G193" s="2" t="s">
        <v>182</v>
      </c>
      <c r="H193" s="2" t="s">
        <v>599</v>
      </c>
      <c r="I193" s="2" t="s">
        <v>182</v>
      </c>
      <c r="J193" s="2" t="s">
        <v>182</v>
      </c>
      <c r="K193" s="2" t="s">
        <v>196</v>
      </c>
      <c r="L193" s="2" t="s">
        <v>32</v>
      </c>
      <c r="M193" s="3">
        <v>35</v>
      </c>
      <c r="N193" s="3">
        <v>1.04</v>
      </c>
      <c r="O193" s="3">
        <v>0.19</v>
      </c>
      <c r="P193" s="3">
        <v>33.770000000000003</v>
      </c>
      <c r="Q193" s="3">
        <v>0</v>
      </c>
      <c r="R193" s="2" t="s">
        <v>593</v>
      </c>
      <c r="S193" s="2" t="s">
        <v>34</v>
      </c>
      <c r="T193" s="2" t="s">
        <v>600</v>
      </c>
      <c r="U193" s="2" t="s">
        <v>36</v>
      </c>
      <c r="V193" s="2" t="s">
        <v>601</v>
      </c>
      <c r="W193" s="2" t="s">
        <v>602</v>
      </c>
      <c r="X193" s="2"/>
      <c r="Y193" s="2"/>
      <c r="Z193">
        <v>604</v>
      </c>
      <c r="AA193" t="s">
        <v>433</v>
      </c>
    </row>
    <row r="194" spans="1:27" x14ac:dyDescent="0.25">
      <c r="A194" s="4" t="str">
        <f t="shared" si="5"/>
        <v>2121-202661</v>
      </c>
      <c r="B194" s="18" t="str">
        <f t="shared" si="4"/>
        <v>SERIE: CD8R8313- POS CONTACTLESS CHIP -  VAUCHER N° 0000579 -  OP: 202661</v>
      </c>
      <c r="C194" s="2" t="s">
        <v>428</v>
      </c>
      <c r="D194" s="2" t="s">
        <v>26</v>
      </c>
      <c r="E194" s="2" t="s">
        <v>27</v>
      </c>
      <c r="F194" s="2" t="s">
        <v>28</v>
      </c>
      <c r="G194" s="2" t="s">
        <v>182</v>
      </c>
      <c r="H194" s="2" t="s">
        <v>603</v>
      </c>
      <c r="I194" s="2" t="s">
        <v>182</v>
      </c>
      <c r="J194" s="2" t="s">
        <v>182</v>
      </c>
      <c r="K194" s="2" t="s">
        <v>196</v>
      </c>
      <c r="L194" s="2" t="s">
        <v>32</v>
      </c>
      <c r="M194" s="3">
        <v>158</v>
      </c>
      <c r="N194" s="3">
        <v>4.68</v>
      </c>
      <c r="O194" s="3">
        <v>0.84</v>
      </c>
      <c r="P194" s="3">
        <v>152.47999999999999</v>
      </c>
      <c r="Q194" s="3">
        <v>0</v>
      </c>
      <c r="R194" s="2" t="s">
        <v>593</v>
      </c>
      <c r="S194" s="2" t="s">
        <v>34</v>
      </c>
      <c r="T194" s="2" t="s">
        <v>604</v>
      </c>
      <c r="U194" s="2" t="s">
        <v>36</v>
      </c>
      <c r="V194" s="2" t="s">
        <v>605</v>
      </c>
      <c r="W194" s="2">
        <v>202661</v>
      </c>
      <c r="X194" s="2"/>
      <c r="Y194" s="2"/>
      <c r="Z194">
        <v>604</v>
      </c>
      <c r="AA194" t="s">
        <v>433</v>
      </c>
    </row>
    <row r="195" spans="1:27" x14ac:dyDescent="0.25">
      <c r="A195" s="4" t="str">
        <f t="shared" si="5"/>
        <v>2121-758904</v>
      </c>
      <c r="B195" s="18" t="str">
        <f t="shared" ref="B195:B247" si="6">CONCATENATE("SERIE: ",AA195, "- ",E195," - "," VAUCHER N° ",T195,  " -  OP: ",W195)</f>
        <v>SERIE: CD8R8313- POS CONTACTLESS CHIP -  VAUCHER N° 0000577 -  OP: 758904</v>
      </c>
      <c r="C195" s="2" t="s">
        <v>428</v>
      </c>
      <c r="D195" s="2" t="s">
        <v>26</v>
      </c>
      <c r="E195" s="2" t="s">
        <v>27</v>
      </c>
      <c r="F195" s="2" t="s">
        <v>28</v>
      </c>
      <c r="G195" s="2" t="s">
        <v>182</v>
      </c>
      <c r="H195" s="2" t="s">
        <v>606</v>
      </c>
      <c r="I195" s="2" t="s">
        <v>182</v>
      </c>
      <c r="J195" s="2" t="s">
        <v>182</v>
      </c>
      <c r="K195" s="2" t="s">
        <v>196</v>
      </c>
      <c r="L195" s="2" t="s">
        <v>32</v>
      </c>
      <c r="M195" s="3">
        <v>37</v>
      </c>
      <c r="N195" s="3">
        <v>1.1000000000000001</v>
      </c>
      <c r="O195" s="3">
        <v>0.2</v>
      </c>
      <c r="P195" s="3">
        <v>35.700000000000003</v>
      </c>
      <c r="Q195" s="3">
        <v>0</v>
      </c>
      <c r="R195" s="2" t="s">
        <v>593</v>
      </c>
      <c r="S195" s="2" t="s">
        <v>34</v>
      </c>
      <c r="T195" s="2" t="s">
        <v>607</v>
      </c>
      <c r="U195" s="2" t="s">
        <v>36</v>
      </c>
      <c r="V195" s="2" t="s">
        <v>608</v>
      </c>
      <c r="W195" s="2">
        <v>758904</v>
      </c>
      <c r="X195" s="2"/>
      <c r="Y195" s="2"/>
      <c r="Z195">
        <v>604</v>
      </c>
      <c r="AA195" t="s">
        <v>433</v>
      </c>
    </row>
    <row r="196" spans="1:27" x14ac:dyDescent="0.25">
      <c r="A196" s="4" t="str">
        <f t="shared" si="5"/>
        <v>2121-008501</v>
      </c>
      <c r="B196" s="18" t="str">
        <f t="shared" si="6"/>
        <v>SERIE: CD8R8313- POS CONTACTLESS CHIP -  VAUCHER N° 0000574 -  OP: 008501</v>
      </c>
      <c r="C196" s="2" t="s">
        <v>428</v>
      </c>
      <c r="D196" s="2" t="s">
        <v>26</v>
      </c>
      <c r="E196" s="2" t="s">
        <v>27</v>
      </c>
      <c r="F196" s="2" t="s">
        <v>28</v>
      </c>
      <c r="G196" s="2" t="s">
        <v>182</v>
      </c>
      <c r="H196" s="2" t="s">
        <v>609</v>
      </c>
      <c r="I196" s="2" t="s">
        <v>182</v>
      </c>
      <c r="J196" s="2" t="s">
        <v>182</v>
      </c>
      <c r="K196" s="2" t="s">
        <v>196</v>
      </c>
      <c r="L196" s="2" t="s">
        <v>32</v>
      </c>
      <c r="M196" s="3">
        <v>75</v>
      </c>
      <c r="N196" s="3">
        <v>2.2200000000000002</v>
      </c>
      <c r="O196" s="3">
        <v>0.4</v>
      </c>
      <c r="P196" s="3">
        <v>72.38</v>
      </c>
      <c r="Q196" s="3">
        <v>0</v>
      </c>
      <c r="R196" s="2" t="s">
        <v>593</v>
      </c>
      <c r="S196" s="2" t="s">
        <v>34</v>
      </c>
      <c r="T196" s="2" t="s">
        <v>610</v>
      </c>
      <c r="U196" s="2" t="s">
        <v>36</v>
      </c>
      <c r="V196" s="2" t="s">
        <v>611</v>
      </c>
      <c r="W196" s="2" t="s">
        <v>612</v>
      </c>
      <c r="X196" s="2"/>
      <c r="Y196" s="2"/>
      <c r="Z196">
        <v>604</v>
      </c>
      <c r="AA196" t="s">
        <v>433</v>
      </c>
    </row>
    <row r="197" spans="1:27" x14ac:dyDescent="0.25">
      <c r="A197" s="4" t="str">
        <f t="shared" si="5"/>
        <v>2121-153768</v>
      </c>
      <c r="B197" s="18" t="str">
        <f t="shared" si="6"/>
        <v>SERIE: MPP001LL3- POS QR -  VAUCHER N° 4011196 -  OP: 153768</v>
      </c>
      <c r="C197" s="2" t="s">
        <v>428</v>
      </c>
      <c r="D197" s="2" t="s">
        <v>26</v>
      </c>
      <c r="E197" s="2" t="s">
        <v>43</v>
      </c>
      <c r="F197" s="2" t="s">
        <v>28</v>
      </c>
      <c r="G197" s="2" t="s">
        <v>182</v>
      </c>
      <c r="H197" s="2" t="s">
        <v>613</v>
      </c>
      <c r="I197" s="2" t="s">
        <v>182</v>
      </c>
      <c r="J197" s="2" t="s">
        <v>182</v>
      </c>
      <c r="K197" s="2" t="s">
        <v>196</v>
      </c>
      <c r="L197" s="2" t="s">
        <v>32</v>
      </c>
      <c r="M197" s="3">
        <v>12.5</v>
      </c>
      <c r="N197" s="3">
        <v>0.37</v>
      </c>
      <c r="O197" s="3">
        <v>7.0000000000000007E-2</v>
      </c>
      <c r="P197" s="3">
        <v>12.06</v>
      </c>
      <c r="Q197" s="3">
        <v>0</v>
      </c>
      <c r="R197" s="2" t="s">
        <v>593</v>
      </c>
      <c r="S197" s="2" t="s">
        <v>45</v>
      </c>
      <c r="T197" s="2">
        <v>4011196</v>
      </c>
      <c r="U197" s="2" t="s">
        <v>36</v>
      </c>
      <c r="V197" s="2" t="s">
        <v>614</v>
      </c>
      <c r="W197" s="2">
        <v>153768</v>
      </c>
      <c r="X197" s="2"/>
      <c r="Y197" s="2"/>
      <c r="Z197">
        <v>604</v>
      </c>
      <c r="AA197" t="s">
        <v>48</v>
      </c>
    </row>
    <row r="198" spans="1:27" x14ac:dyDescent="0.25">
      <c r="A198" s="4" t="str">
        <f t="shared" si="5"/>
        <v>2121-233214</v>
      </c>
      <c r="B198" s="18" t="str">
        <f t="shared" si="6"/>
        <v>SERIE: MPP001LL3- POS QR -  VAUCHER N° 7031252 -  OP: 233214</v>
      </c>
      <c r="C198" s="2" t="s">
        <v>428</v>
      </c>
      <c r="D198" s="2" t="s">
        <v>26</v>
      </c>
      <c r="E198" s="2" t="s">
        <v>43</v>
      </c>
      <c r="F198" s="2" t="s">
        <v>28</v>
      </c>
      <c r="G198" s="2" t="s">
        <v>182</v>
      </c>
      <c r="H198" s="2" t="s">
        <v>615</v>
      </c>
      <c r="I198" s="2" t="s">
        <v>182</v>
      </c>
      <c r="J198" s="2" t="s">
        <v>182</v>
      </c>
      <c r="K198" s="2" t="s">
        <v>196</v>
      </c>
      <c r="L198" s="2" t="s">
        <v>32</v>
      </c>
      <c r="M198" s="3">
        <v>80</v>
      </c>
      <c r="N198" s="3">
        <v>2.37</v>
      </c>
      <c r="O198" s="3">
        <v>0.43</v>
      </c>
      <c r="P198" s="3">
        <v>77.2</v>
      </c>
      <c r="Q198" s="3">
        <v>0</v>
      </c>
      <c r="R198" s="2" t="s">
        <v>593</v>
      </c>
      <c r="S198" s="2" t="s">
        <v>45</v>
      </c>
      <c r="T198" s="2">
        <v>7031252</v>
      </c>
      <c r="U198" s="2" t="s">
        <v>36</v>
      </c>
      <c r="V198" s="2" t="s">
        <v>616</v>
      </c>
      <c r="W198" s="2">
        <v>233214</v>
      </c>
      <c r="X198" s="2"/>
      <c r="Y198" s="2"/>
      <c r="Z198">
        <v>604</v>
      </c>
      <c r="AA198" t="s">
        <v>48</v>
      </c>
    </row>
    <row r="199" spans="1:27" x14ac:dyDescent="0.25">
      <c r="A199" s="4" t="str">
        <f t="shared" si="5"/>
        <v>2121-744882</v>
      </c>
      <c r="B199" s="18" t="str">
        <f t="shared" si="6"/>
        <v>SERIE: CD8R8313- POS CONTACTLESS CHIP -  VAUCHER N° 0000609 -  OP: 744882</v>
      </c>
      <c r="C199" s="2" t="s">
        <v>428</v>
      </c>
      <c r="D199" s="2" t="s">
        <v>26</v>
      </c>
      <c r="E199" s="2" t="s">
        <v>27</v>
      </c>
      <c r="F199" s="2" t="s">
        <v>28</v>
      </c>
      <c r="G199" s="2" t="s">
        <v>196</v>
      </c>
      <c r="H199" s="2" t="s">
        <v>617</v>
      </c>
      <c r="I199" s="2" t="s">
        <v>196</v>
      </c>
      <c r="J199" s="2" t="s">
        <v>196</v>
      </c>
      <c r="K199" s="2" t="s">
        <v>226</v>
      </c>
      <c r="L199" s="2" t="s">
        <v>32</v>
      </c>
      <c r="M199" s="3">
        <v>90</v>
      </c>
      <c r="N199" s="3">
        <v>2.66</v>
      </c>
      <c r="O199" s="3">
        <v>0.48</v>
      </c>
      <c r="P199" s="3">
        <v>86.86</v>
      </c>
      <c r="Q199" s="3">
        <v>232.58</v>
      </c>
      <c r="R199" s="2" t="s">
        <v>618</v>
      </c>
      <c r="S199" s="2" t="s">
        <v>34</v>
      </c>
      <c r="T199" s="2" t="s">
        <v>619</v>
      </c>
      <c r="U199" s="2" t="s">
        <v>36</v>
      </c>
      <c r="V199" s="2" t="s">
        <v>620</v>
      </c>
      <c r="W199" s="2">
        <v>744882</v>
      </c>
      <c r="X199" s="2"/>
      <c r="Y199" s="2"/>
      <c r="Z199">
        <v>604</v>
      </c>
      <c r="AA199" t="s">
        <v>433</v>
      </c>
    </row>
    <row r="200" spans="1:27" x14ac:dyDescent="0.25">
      <c r="A200" s="4" t="str">
        <f t="shared" si="5"/>
        <v>2121-800846</v>
      </c>
      <c r="B200" s="18" t="str">
        <f t="shared" si="6"/>
        <v>SERIE: CD8R8313- POS CONTACTLESS CHIP -  VAUCHER N° 0000607 -  OP: 800846</v>
      </c>
      <c r="C200" s="2" t="s">
        <v>428</v>
      </c>
      <c r="D200" s="2" t="s">
        <v>26</v>
      </c>
      <c r="E200" s="2" t="s">
        <v>27</v>
      </c>
      <c r="F200" s="2" t="s">
        <v>28</v>
      </c>
      <c r="G200" s="2" t="s">
        <v>196</v>
      </c>
      <c r="H200" s="2" t="s">
        <v>621</v>
      </c>
      <c r="I200" s="2" t="s">
        <v>196</v>
      </c>
      <c r="J200" s="2" t="s">
        <v>196</v>
      </c>
      <c r="K200" s="2" t="s">
        <v>226</v>
      </c>
      <c r="L200" s="2" t="s">
        <v>32</v>
      </c>
      <c r="M200" s="3">
        <v>116</v>
      </c>
      <c r="N200" s="3">
        <v>3.43</v>
      </c>
      <c r="O200" s="3">
        <v>0.62</v>
      </c>
      <c r="P200" s="3">
        <v>111.95</v>
      </c>
      <c r="Q200" s="3">
        <v>0</v>
      </c>
      <c r="R200" s="2" t="s">
        <v>618</v>
      </c>
      <c r="S200" s="2" t="s">
        <v>34</v>
      </c>
      <c r="T200" s="2" t="s">
        <v>622</v>
      </c>
      <c r="U200" s="2" t="s">
        <v>36</v>
      </c>
      <c r="V200" s="2" t="s">
        <v>550</v>
      </c>
      <c r="W200" s="2">
        <v>800846</v>
      </c>
      <c r="X200" s="2"/>
      <c r="Y200" s="2"/>
      <c r="Z200">
        <v>604</v>
      </c>
      <c r="AA200" t="s">
        <v>433</v>
      </c>
    </row>
    <row r="201" spans="1:27" x14ac:dyDescent="0.25">
      <c r="A201" s="4" t="str">
        <f t="shared" si="5"/>
        <v>2121-020481</v>
      </c>
      <c r="B201" s="18" t="str">
        <f t="shared" si="6"/>
        <v>SERIE: CD8R8313- POS CONTACTLESS CHIP -  VAUCHER N° 0000605 -  OP: 020481</v>
      </c>
      <c r="C201" s="2" t="s">
        <v>428</v>
      </c>
      <c r="D201" s="2" t="s">
        <v>26</v>
      </c>
      <c r="E201" s="2" t="s">
        <v>27</v>
      </c>
      <c r="F201" s="2" t="s">
        <v>28</v>
      </c>
      <c r="G201" s="2" t="s">
        <v>196</v>
      </c>
      <c r="H201" s="2" t="s">
        <v>623</v>
      </c>
      <c r="I201" s="2" t="s">
        <v>196</v>
      </c>
      <c r="J201" s="2" t="s">
        <v>196</v>
      </c>
      <c r="K201" s="2" t="s">
        <v>226</v>
      </c>
      <c r="L201" s="2" t="s">
        <v>32</v>
      </c>
      <c r="M201" s="3">
        <v>35</v>
      </c>
      <c r="N201" s="3">
        <v>1.04</v>
      </c>
      <c r="O201" s="3">
        <v>0.19</v>
      </c>
      <c r="P201" s="3">
        <v>33.770000000000003</v>
      </c>
      <c r="Q201" s="3">
        <v>0</v>
      </c>
      <c r="R201" s="2" t="s">
        <v>618</v>
      </c>
      <c r="S201" s="2" t="s">
        <v>34</v>
      </c>
      <c r="T201" s="2" t="s">
        <v>624</v>
      </c>
      <c r="U201" s="2" t="s">
        <v>36</v>
      </c>
      <c r="V201" s="2" t="s">
        <v>625</v>
      </c>
      <c r="W201" s="2" t="s">
        <v>626</v>
      </c>
      <c r="X201" s="2"/>
      <c r="Y201" s="2"/>
      <c r="Z201">
        <v>604</v>
      </c>
      <c r="AA201" t="s">
        <v>433</v>
      </c>
    </row>
    <row r="202" spans="1:27" x14ac:dyDescent="0.25">
      <c r="A202" s="4" t="str">
        <f t="shared" ref="A202:A247" si="7">CONCATENATE(RIGHT(C202,4),"-",W202)</f>
        <v>2121-131952</v>
      </c>
      <c r="B202" s="18" t="str">
        <f t="shared" si="6"/>
        <v>SERIE: CD8R8313- POS CONTACTLESS CHIP -  VAUCHER N° 0000624 -  OP: 131952</v>
      </c>
      <c r="C202" s="2" t="s">
        <v>428</v>
      </c>
      <c r="D202" s="2" t="s">
        <v>26</v>
      </c>
      <c r="E202" s="2" t="s">
        <v>27</v>
      </c>
      <c r="F202" s="2" t="s">
        <v>28</v>
      </c>
      <c r="G202" s="2" t="s">
        <v>226</v>
      </c>
      <c r="H202" s="2" t="s">
        <v>627</v>
      </c>
      <c r="I202" s="2" t="s">
        <v>226</v>
      </c>
      <c r="J202" s="2" t="s">
        <v>226</v>
      </c>
      <c r="K202" s="2" t="s">
        <v>246</v>
      </c>
      <c r="L202" s="2" t="s">
        <v>32</v>
      </c>
      <c r="M202" s="3">
        <v>350</v>
      </c>
      <c r="N202" s="3">
        <v>10.36</v>
      </c>
      <c r="O202" s="3">
        <v>1.86</v>
      </c>
      <c r="P202" s="3">
        <v>337.78</v>
      </c>
      <c r="Q202" s="3">
        <v>956.39</v>
      </c>
      <c r="R202" s="2" t="s">
        <v>628</v>
      </c>
      <c r="S202" s="2" t="s">
        <v>34</v>
      </c>
      <c r="T202" s="2" t="s">
        <v>629</v>
      </c>
      <c r="U202" s="2" t="s">
        <v>36</v>
      </c>
      <c r="V202" s="2" t="s">
        <v>630</v>
      </c>
      <c r="W202" s="2">
        <v>131952</v>
      </c>
      <c r="X202" s="2"/>
      <c r="Y202" s="2"/>
      <c r="Z202">
        <v>604</v>
      </c>
      <c r="AA202" t="s">
        <v>433</v>
      </c>
    </row>
    <row r="203" spans="1:27" x14ac:dyDescent="0.25">
      <c r="A203" s="4" t="str">
        <f t="shared" si="7"/>
        <v>2121-614707</v>
      </c>
      <c r="B203" s="18" t="str">
        <f t="shared" si="6"/>
        <v>SERIE: CD8R8313- POS CONTACTLESS CHIP -  VAUCHER N° 0000619 -  OP: 614707</v>
      </c>
      <c r="C203" s="2" t="s">
        <v>428</v>
      </c>
      <c r="D203" s="2" t="s">
        <v>26</v>
      </c>
      <c r="E203" s="2" t="s">
        <v>27</v>
      </c>
      <c r="F203" s="2" t="s">
        <v>28</v>
      </c>
      <c r="G203" s="2" t="s">
        <v>226</v>
      </c>
      <c r="H203" s="2" t="s">
        <v>631</v>
      </c>
      <c r="I203" s="2" t="s">
        <v>226</v>
      </c>
      <c r="J203" s="2" t="s">
        <v>226</v>
      </c>
      <c r="K203" s="2" t="s">
        <v>246</v>
      </c>
      <c r="L203" s="2" t="s">
        <v>32</v>
      </c>
      <c r="M203" s="3">
        <v>280</v>
      </c>
      <c r="N203" s="3">
        <v>8.2899999999999991</v>
      </c>
      <c r="O203" s="3">
        <v>1.49</v>
      </c>
      <c r="P203" s="3">
        <v>270.22000000000003</v>
      </c>
      <c r="Q203" s="3">
        <v>0</v>
      </c>
      <c r="R203" s="2" t="s">
        <v>628</v>
      </c>
      <c r="S203" s="2" t="s">
        <v>34</v>
      </c>
      <c r="T203" s="2" t="s">
        <v>632</v>
      </c>
      <c r="U203" s="2" t="s">
        <v>36</v>
      </c>
      <c r="V203" s="2" t="s">
        <v>633</v>
      </c>
      <c r="W203" s="2">
        <v>614707</v>
      </c>
      <c r="X203" s="2"/>
      <c r="Y203" s="2"/>
      <c r="Z203">
        <v>604</v>
      </c>
      <c r="AA203" t="s">
        <v>433</v>
      </c>
    </row>
    <row r="204" spans="1:27" x14ac:dyDescent="0.25">
      <c r="A204" s="4" t="str">
        <f t="shared" si="7"/>
        <v>2121-133091</v>
      </c>
      <c r="B204" s="18" t="str">
        <f t="shared" si="6"/>
        <v>SERIE: MPP001LL3- POS QR -  VAUCHER N° 2045676 -  OP: 133091</v>
      </c>
      <c r="C204" s="2" t="s">
        <v>428</v>
      </c>
      <c r="D204" s="2" t="s">
        <v>26</v>
      </c>
      <c r="E204" s="2" t="s">
        <v>43</v>
      </c>
      <c r="F204" s="2" t="s">
        <v>28</v>
      </c>
      <c r="G204" s="2" t="s">
        <v>226</v>
      </c>
      <c r="H204" s="2" t="s">
        <v>634</v>
      </c>
      <c r="I204" s="2" t="s">
        <v>226</v>
      </c>
      <c r="J204" s="2" t="s">
        <v>226</v>
      </c>
      <c r="K204" s="2" t="s">
        <v>246</v>
      </c>
      <c r="L204" s="2" t="s">
        <v>32</v>
      </c>
      <c r="M204" s="3">
        <v>90</v>
      </c>
      <c r="N204" s="3">
        <v>2.66</v>
      </c>
      <c r="O204" s="3">
        <v>0.48</v>
      </c>
      <c r="P204" s="3">
        <v>86.86</v>
      </c>
      <c r="Q204" s="3">
        <v>0</v>
      </c>
      <c r="R204" s="2" t="s">
        <v>628</v>
      </c>
      <c r="S204" s="2" t="s">
        <v>45</v>
      </c>
      <c r="T204" s="2">
        <v>2045676</v>
      </c>
      <c r="U204" s="2" t="s">
        <v>36</v>
      </c>
      <c r="V204" s="2" t="s">
        <v>635</v>
      </c>
      <c r="W204" s="2">
        <v>133091</v>
      </c>
      <c r="X204" s="2"/>
      <c r="Y204" s="2"/>
      <c r="Z204">
        <v>604</v>
      </c>
      <c r="AA204" t="s">
        <v>48</v>
      </c>
    </row>
    <row r="205" spans="1:27" x14ac:dyDescent="0.25">
      <c r="A205" s="4" t="str">
        <f t="shared" si="7"/>
        <v>2121-080197</v>
      </c>
      <c r="B205" s="18" t="str">
        <f t="shared" si="6"/>
        <v>SERIE: MPP001LL3- POS QR -  VAUCHER N° 0028363 -  OP: 080197</v>
      </c>
      <c r="C205" s="2" t="s">
        <v>428</v>
      </c>
      <c r="D205" s="2" t="s">
        <v>26</v>
      </c>
      <c r="E205" s="2" t="s">
        <v>43</v>
      </c>
      <c r="F205" s="2" t="s">
        <v>28</v>
      </c>
      <c r="G205" s="2" t="s">
        <v>226</v>
      </c>
      <c r="H205" s="2" t="s">
        <v>636</v>
      </c>
      <c r="I205" s="2" t="s">
        <v>226</v>
      </c>
      <c r="J205" s="2" t="s">
        <v>226</v>
      </c>
      <c r="K205" s="2" t="s">
        <v>246</v>
      </c>
      <c r="L205" s="2" t="s">
        <v>32</v>
      </c>
      <c r="M205" s="3">
        <v>45</v>
      </c>
      <c r="N205" s="3">
        <v>1.33</v>
      </c>
      <c r="O205" s="3">
        <v>0.24</v>
      </c>
      <c r="P205" s="3">
        <v>43.43</v>
      </c>
      <c r="Q205" s="3">
        <v>0</v>
      </c>
      <c r="R205" s="2" t="s">
        <v>628</v>
      </c>
      <c r="S205" s="2" t="s">
        <v>45</v>
      </c>
      <c r="T205" s="2" t="s">
        <v>637</v>
      </c>
      <c r="U205" s="2" t="s">
        <v>36</v>
      </c>
      <c r="V205" s="2" t="s">
        <v>638</v>
      </c>
      <c r="W205" s="2" t="s">
        <v>639</v>
      </c>
      <c r="X205" s="2"/>
      <c r="Y205" s="2"/>
      <c r="Z205">
        <v>604</v>
      </c>
      <c r="AA205" t="s">
        <v>48</v>
      </c>
    </row>
    <row r="206" spans="1:27" x14ac:dyDescent="0.25">
      <c r="A206" s="4" t="str">
        <f t="shared" si="7"/>
        <v>2121-227603</v>
      </c>
      <c r="B206" s="18" t="str">
        <f t="shared" si="6"/>
        <v>SERIE: MPP001LL3- POS QR -  VAUCHER N° 6027514 -  OP: 227603</v>
      </c>
      <c r="C206" s="2" t="s">
        <v>428</v>
      </c>
      <c r="D206" s="2" t="s">
        <v>26</v>
      </c>
      <c r="E206" s="2" t="s">
        <v>43</v>
      </c>
      <c r="F206" s="2" t="s">
        <v>28</v>
      </c>
      <c r="G206" s="2" t="s">
        <v>226</v>
      </c>
      <c r="H206" s="2" t="s">
        <v>640</v>
      </c>
      <c r="I206" s="2" t="s">
        <v>226</v>
      </c>
      <c r="J206" s="2" t="s">
        <v>226</v>
      </c>
      <c r="K206" s="2" t="s">
        <v>246</v>
      </c>
      <c r="L206" s="2" t="s">
        <v>32</v>
      </c>
      <c r="M206" s="3">
        <v>30</v>
      </c>
      <c r="N206" s="3">
        <v>0.89</v>
      </c>
      <c r="O206" s="3">
        <v>0.16</v>
      </c>
      <c r="P206" s="3">
        <v>28.95</v>
      </c>
      <c r="Q206" s="3">
        <v>0</v>
      </c>
      <c r="R206" s="2" t="s">
        <v>628</v>
      </c>
      <c r="S206" s="2" t="s">
        <v>45</v>
      </c>
      <c r="T206" s="2">
        <v>6027514</v>
      </c>
      <c r="U206" s="2" t="s">
        <v>36</v>
      </c>
      <c r="V206" s="2" t="s">
        <v>641</v>
      </c>
      <c r="W206" s="2">
        <v>227603</v>
      </c>
      <c r="X206" s="2"/>
      <c r="Y206" s="2"/>
      <c r="Z206">
        <v>604</v>
      </c>
      <c r="AA206" t="s">
        <v>48</v>
      </c>
    </row>
    <row r="207" spans="1:27" x14ac:dyDescent="0.25">
      <c r="A207" s="4" t="str">
        <f t="shared" si="7"/>
        <v>2121-239865</v>
      </c>
      <c r="B207" s="18" t="str">
        <f t="shared" si="6"/>
        <v>SERIE: MPP001LL3- POS QR -  VAUCHER N° 7002427 -  OP: 239865</v>
      </c>
      <c r="C207" s="2" t="s">
        <v>428</v>
      </c>
      <c r="D207" s="2" t="s">
        <v>26</v>
      </c>
      <c r="E207" s="2" t="s">
        <v>43</v>
      </c>
      <c r="F207" s="2" t="s">
        <v>28</v>
      </c>
      <c r="G207" s="2" t="s">
        <v>226</v>
      </c>
      <c r="H207" s="2" t="s">
        <v>642</v>
      </c>
      <c r="I207" s="2" t="s">
        <v>226</v>
      </c>
      <c r="J207" s="2" t="s">
        <v>226</v>
      </c>
      <c r="K207" s="2" t="s">
        <v>246</v>
      </c>
      <c r="L207" s="2" t="s">
        <v>32</v>
      </c>
      <c r="M207" s="3">
        <v>156</v>
      </c>
      <c r="N207" s="3">
        <v>4.62</v>
      </c>
      <c r="O207" s="3">
        <v>0.83</v>
      </c>
      <c r="P207" s="3">
        <v>150.55000000000001</v>
      </c>
      <c r="Q207" s="3">
        <v>0</v>
      </c>
      <c r="R207" s="2" t="s">
        <v>628</v>
      </c>
      <c r="S207" s="2" t="s">
        <v>45</v>
      </c>
      <c r="T207" s="2">
        <v>7002427</v>
      </c>
      <c r="U207" s="2" t="s">
        <v>36</v>
      </c>
      <c r="V207" s="2" t="s">
        <v>643</v>
      </c>
      <c r="W207" s="2">
        <v>239865</v>
      </c>
      <c r="X207" s="2"/>
      <c r="Y207" s="2"/>
      <c r="Z207">
        <v>604</v>
      </c>
      <c r="AA207" t="s">
        <v>48</v>
      </c>
    </row>
    <row r="208" spans="1:27" x14ac:dyDescent="0.25">
      <c r="A208" s="4" t="str">
        <f t="shared" si="7"/>
        <v>2121-254634</v>
      </c>
      <c r="B208" s="18" t="str">
        <f t="shared" si="6"/>
        <v>SERIE: MPP001LL3- POS QR -  VAUCHER N° 7032545 -  OP: 254634</v>
      </c>
      <c r="C208" s="2" t="s">
        <v>428</v>
      </c>
      <c r="D208" s="2" t="s">
        <v>26</v>
      </c>
      <c r="E208" s="2" t="s">
        <v>43</v>
      </c>
      <c r="F208" s="2" t="s">
        <v>28</v>
      </c>
      <c r="G208" s="2" t="s">
        <v>226</v>
      </c>
      <c r="H208" s="2" t="s">
        <v>644</v>
      </c>
      <c r="I208" s="2" t="s">
        <v>226</v>
      </c>
      <c r="J208" s="2" t="s">
        <v>226</v>
      </c>
      <c r="K208" s="2" t="s">
        <v>246</v>
      </c>
      <c r="L208" s="2" t="s">
        <v>32</v>
      </c>
      <c r="M208" s="3">
        <v>40</v>
      </c>
      <c r="N208" s="3">
        <v>1.18</v>
      </c>
      <c r="O208" s="3">
        <v>0.22</v>
      </c>
      <c r="P208" s="3">
        <v>38.6</v>
      </c>
      <c r="Q208" s="3">
        <v>0</v>
      </c>
      <c r="R208" s="2" t="s">
        <v>628</v>
      </c>
      <c r="S208" s="2" t="s">
        <v>45</v>
      </c>
      <c r="T208" s="2">
        <v>7032545</v>
      </c>
      <c r="U208" s="2" t="s">
        <v>36</v>
      </c>
      <c r="V208" s="2" t="s">
        <v>645</v>
      </c>
      <c r="W208" s="2">
        <v>254634</v>
      </c>
      <c r="X208" s="2"/>
      <c r="Y208" s="2"/>
      <c r="Z208">
        <v>604</v>
      </c>
      <c r="AA208" t="s">
        <v>48</v>
      </c>
    </row>
    <row r="209" spans="1:27" x14ac:dyDescent="0.25">
      <c r="A209" s="4" t="str">
        <f t="shared" si="7"/>
        <v>2121-599067</v>
      </c>
      <c r="B209" s="18" t="str">
        <f t="shared" si="6"/>
        <v>SERIE: CD8R8313- POS CONTACTLESS CHIP -  VAUCHER N° 0000653 -  OP: 599067</v>
      </c>
      <c r="C209" s="2" t="s">
        <v>428</v>
      </c>
      <c r="D209" s="2" t="s">
        <v>26</v>
      </c>
      <c r="E209" s="2" t="s">
        <v>27</v>
      </c>
      <c r="F209" s="2" t="s">
        <v>28</v>
      </c>
      <c r="G209" s="2" t="s">
        <v>246</v>
      </c>
      <c r="H209" s="2" t="s">
        <v>646</v>
      </c>
      <c r="I209" s="2" t="s">
        <v>246</v>
      </c>
      <c r="J209" s="2" t="s">
        <v>246</v>
      </c>
      <c r="K209" s="2" t="s">
        <v>266</v>
      </c>
      <c r="L209" s="2" t="s">
        <v>32</v>
      </c>
      <c r="M209" s="3">
        <v>28</v>
      </c>
      <c r="N209" s="3">
        <v>0.83</v>
      </c>
      <c r="O209" s="3">
        <v>0.15</v>
      </c>
      <c r="P209" s="3">
        <v>27.02</v>
      </c>
      <c r="Q209" s="3">
        <v>622.92999999999995</v>
      </c>
      <c r="R209" s="2" t="s">
        <v>647</v>
      </c>
      <c r="S209" s="2" t="s">
        <v>34</v>
      </c>
      <c r="T209" s="2" t="s">
        <v>648</v>
      </c>
      <c r="U209" s="2" t="s">
        <v>63</v>
      </c>
      <c r="V209" s="2" t="s">
        <v>649</v>
      </c>
      <c r="W209" s="2">
        <v>599067</v>
      </c>
      <c r="X209" s="2"/>
      <c r="Y209" s="2"/>
      <c r="Z209">
        <v>604</v>
      </c>
      <c r="AA209" t="s">
        <v>433</v>
      </c>
    </row>
    <row r="210" spans="1:27" x14ac:dyDescent="0.25">
      <c r="A210" s="4" t="str">
        <f t="shared" si="7"/>
        <v>2121-242767</v>
      </c>
      <c r="B210" s="18" t="str">
        <f t="shared" si="6"/>
        <v>SERIE: CD8R8313- POS CONTACTLESS CHIP -  VAUCHER N° 0000651 -  OP: 242767</v>
      </c>
      <c r="C210" s="2" t="s">
        <v>428</v>
      </c>
      <c r="D210" s="2" t="s">
        <v>26</v>
      </c>
      <c r="E210" s="2" t="s">
        <v>27</v>
      </c>
      <c r="F210" s="2" t="s">
        <v>28</v>
      </c>
      <c r="G210" s="2" t="s">
        <v>246</v>
      </c>
      <c r="H210" s="2" t="s">
        <v>650</v>
      </c>
      <c r="I210" s="2" t="s">
        <v>246</v>
      </c>
      <c r="J210" s="2" t="s">
        <v>246</v>
      </c>
      <c r="K210" s="2" t="s">
        <v>266</v>
      </c>
      <c r="L210" s="2" t="s">
        <v>32</v>
      </c>
      <c r="M210" s="3">
        <v>35</v>
      </c>
      <c r="N210" s="3">
        <v>1.04</v>
      </c>
      <c r="O210" s="3">
        <v>0.19</v>
      </c>
      <c r="P210" s="3">
        <v>33.770000000000003</v>
      </c>
      <c r="Q210" s="3">
        <v>0</v>
      </c>
      <c r="R210" s="2" t="s">
        <v>647</v>
      </c>
      <c r="S210" s="2" t="s">
        <v>34</v>
      </c>
      <c r="T210" s="2" t="s">
        <v>651</v>
      </c>
      <c r="U210" s="2" t="s">
        <v>63</v>
      </c>
      <c r="V210" s="2" t="s">
        <v>649</v>
      </c>
      <c r="W210" s="2">
        <v>242767</v>
      </c>
      <c r="X210" s="2"/>
      <c r="Y210" s="2"/>
      <c r="Z210">
        <v>604</v>
      </c>
      <c r="AA210" t="s">
        <v>433</v>
      </c>
    </row>
    <row r="211" spans="1:27" x14ac:dyDescent="0.25">
      <c r="A211" s="4" t="str">
        <f t="shared" si="7"/>
        <v>2121-508884</v>
      </c>
      <c r="B211" s="18" t="str">
        <f t="shared" si="6"/>
        <v>SERIE: CD8R8313- POS CONTACTLESS CHIP -  VAUCHER N° 0000649 -  OP: 508884</v>
      </c>
      <c r="C211" s="2" t="s">
        <v>428</v>
      </c>
      <c r="D211" s="2" t="s">
        <v>26</v>
      </c>
      <c r="E211" s="2" t="s">
        <v>27</v>
      </c>
      <c r="F211" s="2" t="s">
        <v>28</v>
      </c>
      <c r="G211" s="2" t="s">
        <v>246</v>
      </c>
      <c r="H211" s="2" t="s">
        <v>652</v>
      </c>
      <c r="I211" s="2" t="s">
        <v>246</v>
      </c>
      <c r="J211" s="2" t="s">
        <v>246</v>
      </c>
      <c r="K211" s="2" t="s">
        <v>266</v>
      </c>
      <c r="L211" s="2" t="s">
        <v>32</v>
      </c>
      <c r="M211" s="3">
        <v>35</v>
      </c>
      <c r="N211" s="3">
        <v>1.04</v>
      </c>
      <c r="O211" s="3">
        <v>0.19</v>
      </c>
      <c r="P211" s="3">
        <v>33.770000000000003</v>
      </c>
      <c r="Q211" s="3">
        <v>0</v>
      </c>
      <c r="R211" s="2" t="s">
        <v>647</v>
      </c>
      <c r="S211" s="2" t="s">
        <v>34</v>
      </c>
      <c r="T211" s="2" t="s">
        <v>653</v>
      </c>
      <c r="U211" s="2" t="s">
        <v>36</v>
      </c>
      <c r="V211" s="2" t="s">
        <v>654</v>
      </c>
      <c r="W211" s="2">
        <v>508884</v>
      </c>
      <c r="X211" s="2"/>
      <c r="Y211" s="2"/>
      <c r="Z211">
        <v>604</v>
      </c>
      <c r="AA211" t="s">
        <v>433</v>
      </c>
    </row>
    <row r="212" spans="1:27" x14ac:dyDescent="0.25">
      <c r="A212" s="4" t="str">
        <f t="shared" si="7"/>
        <v>2121-042521</v>
      </c>
      <c r="B212" s="18" t="str">
        <f t="shared" si="6"/>
        <v>SERIE: MPP001LL3- POS QR -  VAUCHER N° 9006834 -  OP: 042521</v>
      </c>
      <c r="C212" s="2" t="s">
        <v>428</v>
      </c>
      <c r="D212" s="2" t="s">
        <v>26</v>
      </c>
      <c r="E212" s="2" t="s">
        <v>43</v>
      </c>
      <c r="F212" s="2" t="s">
        <v>28</v>
      </c>
      <c r="G212" s="2" t="s">
        <v>246</v>
      </c>
      <c r="H212" s="2" t="s">
        <v>655</v>
      </c>
      <c r="I212" s="2" t="s">
        <v>246</v>
      </c>
      <c r="J212" s="2" t="s">
        <v>246</v>
      </c>
      <c r="K212" s="2" t="s">
        <v>266</v>
      </c>
      <c r="L212" s="2" t="s">
        <v>32</v>
      </c>
      <c r="M212" s="3">
        <v>225</v>
      </c>
      <c r="N212" s="3">
        <v>6.66</v>
      </c>
      <c r="O212" s="3">
        <v>1.2</v>
      </c>
      <c r="P212" s="3">
        <v>217.14</v>
      </c>
      <c r="Q212" s="3">
        <v>0</v>
      </c>
      <c r="R212" s="2" t="s">
        <v>647</v>
      </c>
      <c r="S212" s="2" t="s">
        <v>45</v>
      </c>
      <c r="T212" s="2">
        <v>9006834</v>
      </c>
      <c r="U212" s="2" t="s">
        <v>36</v>
      </c>
      <c r="V212" s="2" t="s">
        <v>656</v>
      </c>
      <c r="W212" s="2" t="s">
        <v>657</v>
      </c>
      <c r="X212" s="2"/>
      <c r="Y212" s="2"/>
      <c r="Z212">
        <v>604</v>
      </c>
      <c r="AA212" t="s">
        <v>48</v>
      </c>
    </row>
    <row r="213" spans="1:27" x14ac:dyDescent="0.25">
      <c r="A213" s="4" t="str">
        <f t="shared" si="7"/>
        <v>2121-247594</v>
      </c>
      <c r="B213" s="18" t="str">
        <f t="shared" si="6"/>
        <v>SERIE: MPP001LL3- POS QR -  VAUCHER N° 7046090 -  OP: 247594</v>
      </c>
      <c r="C213" s="2" t="s">
        <v>428</v>
      </c>
      <c r="D213" s="2" t="s">
        <v>26</v>
      </c>
      <c r="E213" s="2" t="s">
        <v>43</v>
      </c>
      <c r="F213" s="2" t="s">
        <v>28</v>
      </c>
      <c r="G213" s="2" t="s">
        <v>246</v>
      </c>
      <c r="H213" s="2" t="s">
        <v>658</v>
      </c>
      <c r="I213" s="2" t="s">
        <v>246</v>
      </c>
      <c r="J213" s="2" t="s">
        <v>246</v>
      </c>
      <c r="K213" s="2" t="s">
        <v>266</v>
      </c>
      <c r="L213" s="2" t="s">
        <v>32</v>
      </c>
      <c r="M213" s="3">
        <v>97.5</v>
      </c>
      <c r="N213" s="3">
        <v>2.89</v>
      </c>
      <c r="O213" s="3">
        <v>0.52</v>
      </c>
      <c r="P213" s="3">
        <v>94.09</v>
      </c>
      <c r="Q213" s="3">
        <v>0</v>
      </c>
      <c r="R213" s="2" t="s">
        <v>647</v>
      </c>
      <c r="S213" s="2" t="s">
        <v>45</v>
      </c>
      <c r="T213" s="2">
        <v>7046090</v>
      </c>
      <c r="U213" s="2" t="s">
        <v>36</v>
      </c>
      <c r="V213" s="2" t="s">
        <v>659</v>
      </c>
      <c r="W213" s="2">
        <v>247594</v>
      </c>
      <c r="X213" s="2"/>
      <c r="Y213" s="2"/>
      <c r="Z213">
        <v>604</v>
      </c>
      <c r="AA213" t="s">
        <v>48</v>
      </c>
    </row>
    <row r="214" spans="1:27" x14ac:dyDescent="0.25">
      <c r="A214" s="4" t="str">
        <f t="shared" si="7"/>
        <v>2121-236643</v>
      </c>
      <c r="B214" s="18" t="str">
        <f t="shared" si="6"/>
        <v>SERIE: MPP001LL3- POS QR -  VAUCHER N° 7023706 -  OP: 236643</v>
      </c>
      <c r="C214" s="2" t="s">
        <v>428</v>
      </c>
      <c r="D214" s="2" t="s">
        <v>26</v>
      </c>
      <c r="E214" s="2" t="s">
        <v>43</v>
      </c>
      <c r="F214" s="2" t="s">
        <v>28</v>
      </c>
      <c r="G214" s="2" t="s">
        <v>246</v>
      </c>
      <c r="H214" s="2" t="s">
        <v>660</v>
      </c>
      <c r="I214" s="2" t="s">
        <v>246</v>
      </c>
      <c r="J214" s="2" t="s">
        <v>246</v>
      </c>
      <c r="K214" s="2" t="s">
        <v>266</v>
      </c>
      <c r="L214" s="2" t="s">
        <v>32</v>
      </c>
      <c r="M214" s="3">
        <v>225</v>
      </c>
      <c r="N214" s="3">
        <v>6.66</v>
      </c>
      <c r="O214" s="3">
        <v>1.2</v>
      </c>
      <c r="P214" s="3">
        <v>217.14</v>
      </c>
      <c r="Q214" s="3">
        <v>0</v>
      </c>
      <c r="R214" s="2" t="s">
        <v>647</v>
      </c>
      <c r="S214" s="2" t="s">
        <v>45</v>
      </c>
      <c r="T214" s="2">
        <v>7023706</v>
      </c>
      <c r="U214" s="2" t="s">
        <v>36</v>
      </c>
      <c r="V214" s="2" t="s">
        <v>453</v>
      </c>
      <c r="W214" s="2">
        <v>236643</v>
      </c>
      <c r="X214" s="2"/>
      <c r="Y214" s="2"/>
      <c r="Z214">
        <v>604</v>
      </c>
      <c r="AA214" t="s">
        <v>48</v>
      </c>
    </row>
    <row r="215" spans="1:27" x14ac:dyDescent="0.25">
      <c r="A215" s="4" t="str">
        <f t="shared" si="7"/>
        <v>2121-202854</v>
      </c>
      <c r="B215" s="18" t="str">
        <f t="shared" si="6"/>
        <v>SERIE: CD8R8313- POS CONTACTLESS CHIP -  VAUCHER N° 0000676 -  OP: 202854</v>
      </c>
      <c r="C215" s="2" t="s">
        <v>428</v>
      </c>
      <c r="D215" s="2" t="s">
        <v>26</v>
      </c>
      <c r="E215" s="2" t="s">
        <v>27</v>
      </c>
      <c r="F215" s="2" t="s">
        <v>28</v>
      </c>
      <c r="G215" s="2" t="s">
        <v>266</v>
      </c>
      <c r="H215" s="2" t="s">
        <v>661</v>
      </c>
      <c r="I215" s="2" t="s">
        <v>266</v>
      </c>
      <c r="J215" s="2" t="s">
        <v>266</v>
      </c>
      <c r="K215" s="2" t="s">
        <v>281</v>
      </c>
      <c r="L215" s="2" t="s">
        <v>32</v>
      </c>
      <c r="M215" s="3">
        <v>45</v>
      </c>
      <c r="N215" s="3">
        <v>1.33</v>
      </c>
      <c r="O215" s="3">
        <v>0.24</v>
      </c>
      <c r="P215" s="3">
        <v>43.43</v>
      </c>
      <c r="Q215" s="3">
        <v>530.79999999999995</v>
      </c>
      <c r="R215" s="2" t="s">
        <v>662</v>
      </c>
      <c r="S215" s="2" t="s">
        <v>34</v>
      </c>
      <c r="T215" s="2" t="s">
        <v>663</v>
      </c>
      <c r="U215" s="2" t="s">
        <v>36</v>
      </c>
      <c r="V215" s="2" t="s">
        <v>664</v>
      </c>
      <c r="W215" s="2">
        <v>202854</v>
      </c>
      <c r="X215" s="2"/>
      <c r="Y215" s="2"/>
      <c r="Z215">
        <v>604</v>
      </c>
      <c r="AA215" t="s">
        <v>433</v>
      </c>
    </row>
    <row r="216" spans="1:27" x14ac:dyDescent="0.25">
      <c r="A216" s="4" t="str">
        <f t="shared" si="7"/>
        <v>2121-894051</v>
      </c>
      <c r="B216" s="18" t="str">
        <f t="shared" si="6"/>
        <v>SERIE: CD8R8313- POS CONTACTLESS CHIP -  VAUCHER N° 0000672 -  OP: 894051</v>
      </c>
      <c r="C216" s="2" t="s">
        <v>428</v>
      </c>
      <c r="D216" s="2" t="s">
        <v>26</v>
      </c>
      <c r="E216" s="2" t="s">
        <v>27</v>
      </c>
      <c r="F216" s="2" t="s">
        <v>28</v>
      </c>
      <c r="G216" s="2" t="s">
        <v>266</v>
      </c>
      <c r="H216" s="2" t="s">
        <v>665</v>
      </c>
      <c r="I216" s="2" t="s">
        <v>266</v>
      </c>
      <c r="J216" s="2" t="s">
        <v>266</v>
      </c>
      <c r="K216" s="2" t="s">
        <v>281</v>
      </c>
      <c r="L216" s="2" t="s">
        <v>32</v>
      </c>
      <c r="M216" s="3">
        <v>40</v>
      </c>
      <c r="N216" s="3">
        <v>1.18</v>
      </c>
      <c r="O216" s="3">
        <v>0.21</v>
      </c>
      <c r="P216" s="3">
        <v>38.61</v>
      </c>
      <c r="Q216" s="3">
        <v>0</v>
      </c>
      <c r="R216" s="2" t="s">
        <v>662</v>
      </c>
      <c r="S216" s="2" t="s">
        <v>34</v>
      </c>
      <c r="T216" s="2" t="s">
        <v>666</v>
      </c>
      <c r="U216" s="2" t="s">
        <v>36</v>
      </c>
      <c r="V216" s="2" t="s">
        <v>667</v>
      </c>
      <c r="W216" s="2">
        <v>894051</v>
      </c>
      <c r="X216" s="2"/>
      <c r="Y216" s="2"/>
      <c r="Z216">
        <v>604</v>
      </c>
      <c r="AA216" t="s">
        <v>433</v>
      </c>
    </row>
    <row r="217" spans="1:27" x14ac:dyDescent="0.25">
      <c r="A217" s="4" t="str">
        <f t="shared" si="7"/>
        <v>2121-076990</v>
      </c>
      <c r="B217" s="18" t="str">
        <f t="shared" si="6"/>
        <v>SERIE: MPP001LL3- POS QR -  VAUCHER N° 0038476 -  OP: 076990</v>
      </c>
      <c r="C217" s="2" t="s">
        <v>428</v>
      </c>
      <c r="D217" s="2" t="s">
        <v>26</v>
      </c>
      <c r="E217" s="2" t="s">
        <v>43</v>
      </c>
      <c r="F217" s="2" t="s">
        <v>28</v>
      </c>
      <c r="G217" s="2" t="s">
        <v>266</v>
      </c>
      <c r="H217" s="2" t="s">
        <v>668</v>
      </c>
      <c r="I217" s="2" t="s">
        <v>266</v>
      </c>
      <c r="J217" s="2" t="s">
        <v>266</v>
      </c>
      <c r="K217" s="2" t="s">
        <v>281</v>
      </c>
      <c r="L217" s="2" t="s">
        <v>32</v>
      </c>
      <c r="M217" s="3">
        <v>465</v>
      </c>
      <c r="N217" s="3">
        <v>13.76</v>
      </c>
      <c r="O217" s="3">
        <v>2.48</v>
      </c>
      <c r="P217" s="3">
        <v>448.76</v>
      </c>
      <c r="Q217" s="3">
        <v>0</v>
      </c>
      <c r="R217" s="2">
        <v>2563</v>
      </c>
      <c r="S217" s="2" t="s">
        <v>45</v>
      </c>
      <c r="T217" s="2" t="s">
        <v>669</v>
      </c>
      <c r="U217" s="2" t="s">
        <v>36</v>
      </c>
      <c r="V217" s="2" t="s">
        <v>432</v>
      </c>
      <c r="W217" s="2" t="s">
        <v>670</v>
      </c>
      <c r="X217" s="2"/>
      <c r="Y217" s="2"/>
      <c r="Z217">
        <v>604</v>
      </c>
      <c r="AA217" t="s">
        <v>48</v>
      </c>
    </row>
    <row r="218" spans="1:27" x14ac:dyDescent="0.25">
      <c r="A218" s="4" t="str">
        <f t="shared" si="7"/>
        <v>2121-019458</v>
      </c>
      <c r="B218" s="18" t="str">
        <f t="shared" si="6"/>
        <v>SERIE: CD8R8313- POS CONTACTLESS CHIP -  VAUCHER N° 0000686 -  OP: 019458</v>
      </c>
      <c r="C218" s="2" t="s">
        <v>428</v>
      </c>
      <c r="D218" s="2" t="s">
        <v>26</v>
      </c>
      <c r="E218" s="2" t="s">
        <v>27</v>
      </c>
      <c r="F218" s="2" t="s">
        <v>28</v>
      </c>
      <c r="G218" s="2" t="s">
        <v>281</v>
      </c>
      <c r="H218" s="2" t="s">
        <v>671</v>
      </c>
      <c r="I218" s="2" t="s">
        <v>281</v>
      </c>
      <c r="J218" s="2" t="s">
        <v>281</v>
      </c>
      <c r="K218" s="2" t="s">
        <v>294</v>
      </c>
      <c r="L218" s="2" t="s">
        <v>32</v>
      </c>
      <c r="M218" s="3">
        <v>150</v>
      </c>
      <c r="N218" s="3">
        <v>4.4400000000000004</v>
      </c>
      <c r="O218" s="3">
        <v>0.8</v>
      </c>
      <c r="P218" s="3">
        <v>144.76</v>
      </c>
      <c r="Q218" s="3">
        <v>221.96</v>
      </c>
      <c r="R218" s="2" t="s">
        <v>672</v>
      </c>
      <c r="S218" s="2" t="s">
        <v>34</v>
      </c>
      <c r="T218" s="2" t="s">
        <v>673</v>
      </c>
      <c r="U218" s="2" t="s">
        <v>63</v>
      </c>
      <c r="V218" s="2" t="s">
        <v>674</v>
      </c>
      <c r="W218" s="2" t="s">
        <v>675</v>
      </c>
      <c r="X218" s="2"/>
      <c r="Y218" s="2"/>
      <c r="Z218">
        <v>604</v>
      </c>
      <c r="AA218" t="s">
        <v>433</v>
      </c>
    </row>
    <row r="219" spans="1:27" x14ac:dyDescent="0.25">
      <c r="A219" s="4" t="str">
        <f t="shared" si="7"/>
        <v>2121-223262</v>
      </c>
      <c r="B219" s="18" t="str">
        <f t="shared" si="6"/>
        <v>SERIE: MPP001LL3- POS QR -  VAUCHER N° 6039527 -  OP: 223262</v>
      </c>
      <c r="C219" s="2" t="s">
        <v>428</v>
      </c>
      <c r="D219" s="2" t="s">
        <v>26</v>
      </c>
      <c r="E219" s="2" t="s">
        <v>43</v>
      </c>
      <c r="F219" s="2" t="s">
        <v>28</v>
      </c>
      <c r="G219" s="2" t="s">
        <v>281</v>
      </c>
      <c r="H219" s="2" t="s">
        <v>676</v>
      </c>
      <c r="I219" s="2" t="s">
        <v>281</v>
      </c>
      <c r="J219" s="2" t="s">
        <v>281</v>
      </c>
      <c r="K219" s="2" t="s">
        <v>294</v>
      </c>
      <c r="L219" s="2" t="s">
        <v>32</v>
      </c>
      <c r="M219" s="3">
        <v>45</v>
      </c>
      <c r="N219" s="3">
        <v>1.33</v>
      </c>
      <c r="O219" s="3">
        <v>0.24</v>
      </c>
      <c r="P219" s="3">
        <v>43.43</v>
      </c>
      <c r="Q219" s="3">
        <v>0</v>
      </c>
      <c r="R219" s="2" t="s">
        <v>672</v>
      </c>
      <c r="S219" s="2" t="s">
        <v>45</v>
      </c>
      <c r="T219" s="2">
        <v>6039527</v>
      </c>
      <c r="U219" s="2" t="s">
        <v>36</v>
      </c>
      <c r="V219" s="2" t="s">
        <v>677</v>
      </c>
      <c r="W219" s="2">
        <v>223262</v>
      </c>
      <c r="X219" s="2"/>
      <c r="Y219" s="2"/>
      <c r="Z219">
        <v>604</v>
      </c>
      <c r="AA219" t="s">
        <v>48</v>
      </c>
    </row>
    <row r="220" spans="1:27" x14ac:dyDescent="0.25">
      <c r="A220" s="4" t="str">
        <f t="shared" si="7"/>
        <v>2121-250099</v>
      </c>
      <c r="B220" s="18" t="str">
        <f t="shared" si="6"/>
        <v>SERIE: MPP001LL3- POS QR -  VAUCHER N° 7044387 -  OP: 250099</v>
      </c>
      <c r="C220" s="2" t="s">
        <v>428</v>
      </c>
      <c r="D220" s="2" t="s">
        <v>26</v>
      </c>
      <c r="E220" s="2" t="s">
        <v>43</v>
      </c>
      <c r="F220" s="2" t="s">
        <v>28</v>
      </c>
      <c r="G220" s="2" t="s">
        <v>281</v>
      </c>
      <c r="H220" s="2" t="s">
        <v>678</v>
      </c>
      <c r="I220" s="2" t="s">
        <v>281</v>
      </c>
      <c r="J220" s="2" t="s">
        <v>281</v>
      </c>
      <c r="K220" s="2" t="s">
        <v>294</v>
      </c>
      <c r="L220" s="2" t="s">
        <v>32</v>
      </c>
      <c r="M220" s="3">
        <v>35</v>
      </c>
      <c r="N220" s="3">
        <v>1.04</v>
      </c>
      <c r="O220" s="3">
        <v>0.19</v>
      </c>
      <c r="P220" s="3">
        <v>33.770000000000003</v>
      </c>
      <c r="Q220" s="3">
        <v>0</v>
      </c>
      <c r="R220" s="2" t="s">
        <v>672</v>
      </c>
      <c r="S220" s="2" t="s">
        <v>45</v>
      </c>
      <c r="T220" s="2">
        <v>7044387</v>
      </c>
      <c r="U220" s="2" t="s">
        <v>36</v>
      </c>
      <c r="V220" s="2" t="s">
        <v>679</v>
      </c>
      <c r="W220" s="2">
        <v>250099</v>
      </c>
      <c r="X220" s="2"/>
      <c r="Y220" s="2"/>
      <c r="Z220">
        <v>604</v>
      </c>
      <c r="AA220" t="s">
        <v>48</v>
      </c>
    </row>
    <row r="221" spans="1:27" x14ac:dyDescent="0.25">
      <c r="A221" s="4" t="str">
        <f t="shared" si="7"/>
        <v>2121-576658</v>
      </c>
      <c r="B221" s="18" t="str">
        <f t="shared" si="6"/>
        <v>SERIE: CD8R8313- POS CONTACTLESS CHIP -  VAUCHER N° 0000702 -  OP: 576658</v>
      </c>
      <c r="C221" s="2" t="s">
        <v>428</v>
      </c>
      <c r="D221" s="2" t="s">
        <v>26</v>
      </c>
      <c r="E221" s="2" t="s">
        <v>27</v>
      </c>
      <c r="F221" s="2" t="s">
        <v>28</v>
      </c>
      <c r="G221" s="2" t="s">
        <v>294</v>
      </c>
      <c r="H221" s="2" t="s">
        <v>680</v>
      </c>
      <c r="I221" s="2" t="s">
        <v>294</v>
      </c>
      <c r="J221" s="2" t="s">
        <v>294</v>
      </c>
      <c r="K221" s="2" t="s">
        <v>323</v>
      </c>
      <c r="L221" s="2" t="s">
        <v>32</v>
      </c>
      <c r="M221" s="3">
        <v>90</v>
      </c>
      <c r="N221" s="3">
        <v>2.66</v>
      </c>
      <c r="O221" s="3">
        <v>0.48</v>
      </c>
      <c r="P221" s="3">
        <v>86.86</v>
      </c>
      <c r="Q221" s="3">
        <v>554.91999999999996</v>
      </c>
      <c r="R221" s="2" t="s">
        <v>681</v>
      </c>
      <c r="S221" s="2" t="s">
        <v>34</v>
      </c>
      <c r="T221" s="2" t="s">
        <v>682</v>
      </c>
      <c r="U221" s="2" t="s">
        <v>36</v>
      </c>
      <c r="V221" s="2" t="s">
        <v>683</v>
      </c>
      <c r="W221" s="2">
        <v>576658</v>
      </c>
      <c r="X221" s="2"/>
      <c r="Y221" s="2"/>
      <c r="Z221">
        <v>604</v>
      </c>
      <c r="AA221" t="s">
        <v>433</v>
      </c>
    </row>
    <row r="222" spans="1:27" x14ac:dyDescent="0.25">
      <c r="A222" s="4" t="str">
        <f t="shared" si="7"/>
        <v>2121-131232</v>
      </c>
      <c r="B222" s="18" t="str">
        <f t="shared" si="6"/>
        <v>SERIE: MPP001LL3- POS QR -  VAUCHER N° 2051556 -  OP: 131232</v>
      </c>
      <c r="C222" s="2" t="s">
        <v>428</v>
      </c>
      <c r="D222" s="2" t="s">
        <v>26</v>
      </c>
      <c r="E222" s="2" t="s">
        <v>43</v>
      </c>
      <c r="F222" s="2" t="s">
        <v>28</v>
      </c>
      <c r="G222" s="2" t="s">
        <v>294</v>
      </c>
      <c r="H222" s="2" t="s">
        <v>684</v>
      </c>
      <c r="I222" s="2" t="s">
        <v>294</v>
      </c>
      <c r="J222" s="2" t="s">
        <v>294</v>
      </c>
      <c r="K222" s="2" t="s">
        <v>323</v>
      </c>
      <c r="L222" s="2" t="s">
        <v>32</v>
      </c>
      <c r="M222" s="3">
        <v>30</v>
      </c>
      <c r="N222" s="3">
        <v>0.89</v>
      </c>
      <c r="O222" s="3">
        <v>0.16</v>
      </c>
      <c r="P222" s="3">
        <v>28.95</v>
      </c>
      <c r="Q222" s="3">
        <v>0</v>
      </c>
      <c r="R222" s="2" t="s">
        <v>681</v>
      </c>
      <c r="S222" s="2" t="s">
        <v>45</v>
      </c>
      <c r="T222" s="2">
        <v>2051556</v>
      </c>
      <c r="U222" s="2" t="s">
        <v>36</v>
      </c>
      <c r="V222" s="2" t="s">
        <v>685</v>
      </c>
      <c r="W222" s="2">
        <v>131232</v>
      </c>
      <c r="X222" s="2"/>
      <c r="Y222" s="2"/>
      <c r="Z222">
        <v>604</v>
      </c>
      <c r="AA222" t="s">
        <v>48</v>
      </c>
    </row>
    <row r="223" spans="1:27" x14ac:dyDescent="0.25">
      <c r="A223" s="4" t="str">
        <f t="shared" si="7"/>
        <v>2121-138277</v>
      </c>
      <c r="B223" s="18" t="str">
        <f t="shared" si="6"/>
        <v>SERIE: MPP001LL3- POS QR -  VAUCHER N° 3012864 -  OP: 138277</v>
      </c>
      <c r="C223" s="2" t="s">
        <v>428</v>
      </c>
      <c r="D223" s="2" t="s">
        <v>26</v>
      </c>
      <c r="E223" s="2" t="s">
        <v>43</v>
      </c>
      <c r="F223" s="2" t="s">
        <v>28</v>
      </c>
      <c r="G223" s="2" t="s">
        <v>294</v>
      </c>
      <c r="H223" s="2" t="s">
        <v>686</v>
      </c>
      <c r="I223" s="2" t="s">
        <v>294</v>
      </c>
      <c r="J223" s="2" t="s">
        <v>294</v>
      </c>
      <c r="K223" s="2" t="s">
        <v>323</v>
      </c>
      <c r="L223" s="2" t="s">
        <v>32</v>
      </c>
      <c r="M223" s="3">
        <v>455</v>
      </c>
      <c r="N223" s="3">
        <v>13.47</v>
      </c>
      <c r="O223" s="3">
        <v>2.42</v>
      </c>
      <c r="P223" s="3">
        <v>439.11</v>
      </c>
      <c r="Q223" s="3">
        <v>0</v>
      </c>
      <c r="R223" s="2" t="s">
        <v>681</v>
      </c>
      <c r="S223" s="2" t="s">
        <v>45</v>
      </c>
      <c r="T223" s="2">
        <v>3012864</v>
      </c>
      <c r="U223" s="2" t="s">
        <v>36</v>
      </c>
      <c r="V223" s="2" t="s">
        <v>687</v>
      </c>
      <c r="W223" s="2">
        <v>138277</v>
      </c>
      <c r="X223" s="2"/>
      <c r="Y223" s="2"/>
      <c r="Z223">
        <v>604</v>
      </c>
      <c r="AA223" t="s">
        <v>48</v>
      </c>
    </row>
    <row r="224" spans="1:27" x14ac:dyDescent="0.25">
      <c r="A224" s="4" t="str">
        <f t="shared" si="7"/>
        <v>2121-125554</v>
      </c>
      <c r="B224" s="18" t="str">
        <f t="shared" si="6"/>
        <v>SERIE: CD8R8313- POS CONTACTLESS CHIP -  VAUCHER N° 0000732 -  OP: 125554</v>
      </c>
      <c r="C224" s="2" t="s">
        <v>428</v>
      </c>
      <c r="D224" s="2" t="s">
        <v>26</v>
      </c>
      <c r="E224" s="2" t="s">
        <v>27</v>
      </c>
      <c r="F224" s="2" t="s">
        <v>28</v>
      </c>
      <c r="G224" s="2" t="s">
        <v>323</v>
      </c>
      <c r="H224" s="2" t="s">
        <v>688</v>
      </c>
      <c r="I224" s="2" t="s">
        <v>323</v>
      </c>
      <c r="J224" s="2" t="s">
        <v>323</v>
      </c>
      <c r="K224" s="2" t="s">
        <v>337</v>
      </c>
      <c r="L224" s="2" t="s">
        <v>32</v>
      </c>
      <c r="M224" s="3">
        <v>172.5</v>
      </c>
      <c r="N224" s="3">
        <v>5.1100000000000003</v>
      </c>
      <c r="O224" s="3">
        <v>0.92</v>
      </c>
      <c r="P224" s="3">
        <v>166.47</v>
      </c>
      <c r="Q224" s="3">
        <v>311.23</v>
      </c>
      <c r="R224" s="2" t="s">
        <v>689</v>
      </c>
      <c r="S224" s="2" t="s">
        <v>34</v>
      </c>
      <c r="T224" s="2" t="s">
        <v>690</v>
      </c>
      <c r="U224" s="2" t="s">
        <v>36</v>
      </c>
      <c r="V224" s="2" t="s">
        <v>563</v>
      </c>
      <c r="W224" s="2">
        <v>125554</v>
      </c>
      <c r="X224" s="2"/>
      <c r="Y224" s="2"/>
      <c r="Z224">
        <v>604</v>
      </c>
      <c r="AA224" t="s">
        <v>433</v>
      </c>
    </row>
    <row r="225" spans="1:27" x14ac:dyDescent="0.25">
      <c r="A225" s="4" t="str">
        <f t="shared" si="7"/>
        <v>2121-076235</v>
      </c>
      <c r="B225" s="18" t="str">
        <f t="shared" si="6"/>
        <v>SERIE: MPP001LL3- POS QR -  VAUCHER N° 0019548 -  OP: 076235</v>
      </c>
      <c r="C225" s="2" t="s">
        <v>428</v>
      </c>
      <c r="D225" s="2" t="s">
        <v>26</v>
      </c>
      <c r="E225" s="2" t="s">
        <v>43</v>
      </c>
      <c r="F225" s="2" t="s">
        <v>28</v>
      </c>
      <c r="G225" s="2" t="s">
        <v>323</v>
      </c>
      <c r="H225" s="2" t="s">
        <v>691</v>
      </c>
      <c r="I225" s="2" t="s">
        <v>323</v>
      </c>
      <c r="J225" s="2" t="s">
        <v>323</v>
      </c>
      <c r="K225" s="2" t="s">
        <v>337</v>
      </c>
      <c r="L225" s="2" t="s">
        <v>32</v>
      </c>
      <c r="M225" s="3">
        <v>50</v>
      </c>
      <c r="N225" s="3">
        <v>1.48</v>
      </c>
      <c r="O225" s="3">
        <v>0.27</v>
      </c>
      <c r="P225" s="3">
        <v>48.25</v>
      </c>
      <c r="Q225" s="3">
        <v>0</v>
      </c>
      <c r="R225" s="2" t="s">
        <v>689</v>
      </c>
      <c r="S225" s="2" t="s">
        <v>45</v>
      </c>
      <c r="T225" s="2" t="s">
        <v>692</v>
      </c>
      <c r="U225" s="2" t="s">
        <v>36</v>
      </c>
      <c r="V225" s="2" t="s">
        <v>693</v>
      </c>
      <c r="W225" s="2" t="s">
        <v>694</v>
      </c>
      <c r="X225" s="2"/>
      <c r="Y225" s="2"/>
      <c r="Z225">
        <v>604</v>
      </c>
      <c r="AA225" t="s">
        <v>48</v>
      </c>
    </row>
    <row r="226" spans="1:27" x14ac:dyDescent="0.25">
      <c r="A226" s="4" t="str">
        <f t="shared" si="7"/>
        <v>2121-230845</v>
      </c>
      <c r="B226" s="18" t="str">
        <f t="shared" si="6"/>
        <v>SERIE: MPP001LL3- POS QR -  VAUCHER N° 6026554 -  OP: 230845</v>
      </c>
      <c r="C226" s="2" t="s">
        <v>428</v>
      </c>
      <c r="D226" s="2" t="s">
        <v>26</v>
      </c>
      <c r="E226" s="2" t="s">
        <v>43</v>
      </c>
      <c r="F226" s="2" t="s">
        <v>28</v>
      </c>
      <c r="G226" s="2" t="s">
        <v>323</v>
      </c>
      <c r="H226" s="2" t="s">
        <v>695</v>
      </c>
      <c r="I226" s="2" t="s">
        <v>323</v>
      </c>
      <c r="J226" s="2" t="s">
        <v>323</v>
      </c>
      <c r="K226" s="2" t="s">
        <v>337</v>
      </c>
      <c r="L226" s="2" t="s">
        <v>32</v>
      </c>
      <c r="M226" s="3">
        <v>100</v>
      </c>
      <c r="N226" s="3">
        <v>2.96</v>
      </c>
      <c r="O226" s="3">
        <v>0.53</v>
      </c>
      <c r="P226" s="3">
        <v>96.51</v>
      </c>
      <c r="Q226" s="3">
        <v>0</v>
      </c>
      <c r="R226" s="2" t="s">
        <v>689</v>
      </c>
      <c r="S226" s="2" t="s">
        <v>45</v>
      </c>
      <c r="T226" s="2">
        <v>6026554</v>
      </c>
      <c r="U226" s="2" t="s">
        <v>36</v>
      </c>
      <c r="V226" s="2" t="s">
        <v>641</v>
      </c>
      <c r="W226" s="2">
        <v>230845</v>
      </c>
      <c r="X226" s="2"/>
      <c r="Y226" s="2"/>
      <c r="Z226">
        <v>604</v>
      </c>
      <c r="AA226" t="s">
        <v>48</v>
      </c>
    </row>
    <row r="227" spans="1:27" x14ac:dyDescent="0.25">
      <c r="A227" s="4" t="str">
        <f t="shared" si="7"/>
        <v>2121-846453</v>
      </c>
      <c r="B227" s="18" t="str">
        <f t="shared" si="6"/>
        <v>SERIE: CD8R8313- POS CONTACTLESS CHIP -  VAUCHER N° 0000760 -  OP: 846453</v>
      </c>
      <c r="C227" s="2" t="s">
        <v>428</v>
      </c>
      <c r="D227" s="2" t="s">
        <v>26</v>
      </c>
      <c r="E227" s="2" t="s">
        <v>27</v>
      </c>
      <c r="F227" s="2" t="s">
        <v>28</v>
      </c>
      <c r="G227" s="2" t="s">
        <v>337</v>
      </c>
      <c r="H227" s="2" t="s">
        <v>696</v>
      </c>
      <c r="I227" s="2" t="s">
        <v>337</v>
      </c>
      <c r="J227" s="2" t="s">
        <v>337</v>
      </c>
      <c r="K227" s="2" t="s">
        <v>368</v>
      </c>
      <c r="L227" s="2" t="s">
        <v>32</v>
      </c>
      <c r="M227" s="3">
        <v>239</v>
      </c>
      <c r="N227" s="3">
        <v>7.07</v>
      </c>
      <c r="O227" s="3">
        <v>1.27</v>
      </c>
      <c r="P227" s="3">
        <v>230.66</v>
      </c>
      <c r="Q227" s="3">
        <v>1169.69</v>
      </c>
      <c r="R227" s="2" t="s">
        <v>697</v>
      </c>
      <c r="S227" s="2" t="s">
        <v>34</v>
      </c>
      <c r="T227" s="2" t="s">
        <v>698</v>
      </c>
      <c r="U227" s="2" t="s">
        <v>36</v>
      </c>
      <c r="V227" s="2" t="s">
        <v>699</v>
      </c>
      <c r="W227" s="2">
        <v>846453</v>
      </c>
      <c r="X227" s="2"/>
      <c r="Y227" s="2"/>
      <c r="Z227">
        <v>604</v>
      </c>
      <c r="AA227" t="s">
        <v>433</v>
      </c>
    </row>
    <row r="228" spans="1:27" x14ac:dyDescent="0.25">
      <c r="A228" s="4" t="str">
        <f t="shared" si="7"/>
        <v>2121-798591</v>
      </c>
      <c r="B228" s="18" t="str">
        <f t="shared" si="6"/>
        <v>SERIE: CD8R8313- POS CONTACTLESS CHIP -  VAUCHER N° 0000757 -  OP: 798591</v>
      </c>
      <c r="C228" s="2" t="s">
        <v>428</v>
      </c>
      <c r="D228" s="2" t="s">
        <v>26</v>
      </c>
      <c r="E228" s="2" t="s">
        <v>27</v>
      </c>
      <c r="F228" s="2" t="s">
        <v>28</v>
      </c>
      <c r="G228" s="2" t="s">
        <v>337</v>
      </c>
      <c r="H228" s="2" t="s">
        <v>700</v>
      </c>
      <c r="I228" s="2" t="s">
        <v>337</v>
      </c>
      <c r="J228" s="2" t="s">
        <v>337</v>
      </c>
      <c r="K228" s="2" t="s">
        <v>368</v>
      </c>
      <c r="L228" s="2" t="s">
        <v>32</v>
      </c>
      <c r="M228" s="3">
        <v>115</v>
      </c>
      <c r="N228" s="3">
        <v>3.4</v>
      </c>
      <c r="O228" s="3">
        <v>0.61</v>
      </c>
      <c r="P228" s="3">
        <v>110.99</v>
      </c>
      <c r="Q228" s="3">
        <v>0</v>
      </c>
      <c r="R228" s="2" t="s">
        <v>697</v>
      </c>
      <c r="S228" s="2" t="s">
        <v>34</v>
      </c>
      <c r="T228" s="2" t="s">
        <v>701</v>
      </c>
      <c r="U228" s="2" t="s">
        <v>36</v>
      </c>
      <c r="V228" s="2" t="s">
        <v>576</v>
      </c>
      <c r="W228" s="2">
        <v>798591</v>
      </c>
      <c r="X228" s="2"/>
      <c r="Y228" s="2"/>
      <c r="Z228">
        <v>604</v>
      </c>
      <c r="AA228" t="s">
        <v>433</v>
      </c>
    </row>
    <row r="229" spans="1:27" x14ac:dyDescent="0.25">
      <c r="A229" s="4" t="str">
        <f t="shared" si="7"/>
        <v>2121-522227</v>
      </c>
      <c r="B229" s="18" t="str">
        <f t="shared" si="6"/>
        <v>SERIE: CD8R8313- POS CONTACTLESS CHIP -  VAUCHER N° 0000752 -  OP: 522227</v>
      </c>
      <c r="C229" s="2" t="s">
        <v>428</v>
      </c>
      <c r="D229" s="2" t="s">
        <v>26</v>
      </c>
      <c r="E229" s="2" t="s">
        <v>27</v>
      </c>
      <c r="F229" s="2" t="s">
        <v>28</v>
      </c>
      <c r="G229" s="2" t="s">
        <v>337</v>
      </c>
      <c r="H229" s="2" t="s">
        <v>702</v>
      </c>
      <c r="I229" s="2" t="s">
        <v>337</v>
      </c>
      <c r="J229" s="2" t="s">
        <v>337</v>
      </c>
      <c r="K229" s="2" t="s">
        <v>368</v>
      </c>
      <c r="L229" s="2" t="s">
        <v>32</v>
      </c>
      <c r="M229" s="3">
        <v>35</v>
      </c>
      <c r="N229" s="3">
        <v>1.04</v>
      </c>
      <c r="O229" s="3">
        <v>0.19</v>
      </c>
      <c r="P229" s="3">
        <v>33.770000000000003</v>
      </c>
      <c r="Q229" s="3">
        <v>0</v>
      </c>
      <c r="R229" s="2" t="s">
        <v>697</v>
      </c>
      <c r="S229" s="2" t="s">
        <v>34</v>
      </c>
      <c r="T229" s="2" t="s">
        <v>703</v>
      </c>
      <c r="U229" s="2" t="s">
        <v>36</v>
      </c>
      <c r="V229" s="2" t="s">
        <v>704</v>
      </c>
      <c r="W229" s="2">
        <v>522227</v>
      </c>
      <c r="X229" s="2"/>
      <c r="Y229" s="2"/>
      <c r="Z229">
        <v>604</v>
      </c>
      <c r="AA229" t="s">
        <v>433</v>
      </c>
    </row>
    <row r="230" spans="1:27" x14ac:dyDescent="0.25">
      <c r="A230" s="4" t="str">
        <f t="shared" si="7"/>
        <v>2121-916890</v>
      </c>
      <c r="B230" s="18" t="str">
        <f t="shared" si="6"/>
        <v>SERIE: CD8R8313- POS CONTACTLESS CHIP -  VAUCHER N° 0000747 -  OP: 916890</v>
      </c>
      <c r="C230" s="2" t="s">
        <v>428</v>
      </c>
      <c r="D230" s="2" t="s">
        <v>26</v>
      </c>
      <c r="E230" s="2" t="s">
        <v>27</v>
      </c>
      <c r="F230" s="2" t="s">
        <v>28</v>
      </c>
      <c r="G230" s="2" t="s">
        <v>337</v>
      </c>
      <c r="H230" s="2" t="s">
        <v>705</v>
      </c>
      <c r="I230" s="2" t="s">
        <v>337</v>
      </c>
      <c r="J230" s="2" t="s">
        <v>337</v>
      </c>
      <c r="K230" s="2" t="s">
        <v>368</v>
      </c>
      <c r="L230" s="2" t="s">
        <v>32</v>
      </c>
      <c r="M230" s="3">
        <v>140</v>
      </c>
      <c r="N230" s="3">
        <v>4.1399999999999997</v>
      </c>
      <c r="O230" s="3">
        <v>0.75</v>
      </c>
      <c r="P230" s="3">
        <v>135.11000000000001</v>
      </c>
      <c r="Q230" s="3">
        <v>0</v>
      </c>
      <c r="R230" s="2" t="s">
        <v>697</v>
      </c>
      <c r="S230" s="2" t="s">
        <v>34</v>
      </c>
      <c r="T230" s="2" t="s">
        <v>706</v>
      </c>
      <c r="U230" s="2" t="s">
        <v>36</v>
      </c>
      <c r="V230" s="2" t="s">
        <v>707</v>
      </c>
      <c r="W230" s="2">
        <v>916890</v>
      </c>
      <c r="X230" s="2"/>
      <c r="Y230" s="2"/>
      <c r="Z230">
        <v>604</v>
      </c>
      <c r="AA230" t="s">
        <v>433</v>
      </c>
    </row>
    <row r="231" spans="1:27" x14ac:dyDescent="0.25">
      <c r="A231" s="4" t="str">
        <f t="shared" si="7"/>
        <v>2121-225299</v>
      </c>
      <c r="B231" s="18" t="str">
        <f t="shared" si="6"/>
        <v>SERIE: CD8R8313- POS CONTACTLESS CHIP -  VAUCHER N° 0000745 -  OP: 225299</v>
      </c>
      <c r="C231" s="2" t="s">
        <v>428</v>
      </c>
      <c r="D231" s="2" t="s">
        <v>26</v>
      </c>
      <c r="E231" s="2" t="s">
        <v>27</v>
      </c>
      <c r="F231" s="2" t="s">
        <v>28</v>
      </c>
      <c r="G231" s="2" t="s">
        <v>337</v>
      </c>
      <c r="H231" s="2" t="s">
        <v>708</v>
      </c>
      <c r="I231" s="2" t="s">
        <v>337</v>
      </c>
      <c r="J231" s="2" t="s">
        <v>337</v>
      </c>
      <c r="K231" s="2" t="s">
        <v>368</v>
      </c>
      <c r="L231" s="2" t="s">
        <v>32</v>
      </c>
      <c r="M231" s="3">
        <v>15</v>
      </c>
      <c r="N231" s="3">
        <v>0.44</v>
      </c>
      <c r="O231" s="3">
        <v>0.08</v>
      </c>
      <c r="P231" s="3">
        <v>14.48</v>
      </c>
      <c r="Q231" s="3">
        <v>0</v>
      </c>
      <c r="R231" s="2" t="s">
        <v>697</v>
      </c>
      <c r="S231" s="2" t="s">
        <v>34</v>
      </c>
      <c r="T231" s="2" t="s">
        <v>709</v>
      </c>
      <c r="U231" s="2" t="s">
        <v>36</v>
      </c>
      <c r="V231" s="2" t="s">
        <v>710</v>
      </c>
      <c r="W231" s="2">
        <v>225299</v>
      </c>
      <c r="X231" s="2"/>
      <c r="Y231" s="2"/>
      <c r="Z231">
        <v>604</v>
      </c>
      <c r="AA231" t="s">
        <v>433</v>
      </c>
    </row>
    <row r="232" spans="1:27" x14ac:dyDescent="0.25">
      <c r="A232" s="4" t="str">
        <f t="shared" si="7"/>
        <v>2121-002141</v>
      </c>
      <c r="B232" s="18" t="str">
        <f t="shared" si="6"/>
        <v>SERIE: CD8R8313- POS CONTACTLESS CHIP -  VAUCHER N° 0000743 -  OP: 002141</v>
      </c>
      <c r="C232" s="2" t="s">
        <v>428</v>
      </c>
      <c r="D232" s="2" t="s">
        <v>26</v>
      </c>
      <c r="E232" s="2" t="s">
        <v>27</v>
      </c>
      <c r="F232" s="2" t="s">
        <v>28</v>
      </c>
      <c r="G232" s="2" t="s">
        <v>337</v>
      </c>
      <c r="H232" s="2" t="s">
        <v>711</v>
      </c>
      <c r="I232" s="2" t="s">
        <v>337</v>
      </c>
      <c r="J232" s="2" t="s">
        <v>337</v>
      </c>
      <c r="K232" s="2" t="s">
        <v>368</v>
      </c>
      <c r="L232" s="2" t="s">
        <v>32</v>
      </c>
      <c r="M232" s="3">
        <v>350</v>
      </c>
      <c r="N232" s="3">
        <v>10.36</v>
      </c>
      <c r="O232" s="3">
        <v>1.86</v>
      </c>
      <c r="P232" s="3">
        <v>337.78</v>
      </c>
      <c r="Q232" s="3">
        <v>0</v>
      </c>
      <c r="R232" s="2" t="s">
        <v>697</v>
      </c>
      <c r="S232" s="2" t="s">
        <v>34</v>
      </c>
      <c r="T232" s="2" t="s">
        <v>712</v>
      </c>
      <c r="U232" s="2" t="s">
        <v>36</v>
      </c>
      <c r="V232" s="2" t="s">
        <v>713</v>
      </c>
      <c r="W232" s="2" t="s">
        <v>714</v>
      </c>
      <c r="X232" s="2"/>
      <c r="Y232" s="2"/>
      <c r="Z232">
        <v>604</v>
      </c>
      <c r="AA232" t="s">
        <v>433</v>
      </c>
    </row>
    <row r="233" spans="1:27" x14ac:dyDescent="0.25">
      <c r="A233" s="4" t="str">
        <f t="shared" si="7"/>
        <v>2121-214964</v>
      </c>
      <c r="B233" s="18" t="str">
        <f t="shared" si="6"/>
        <v>SERIE: MPP001LL3- POS QR -  VAUCHER N° 6017968 -  OP: 214964</v>
      </c>
      <c r="C233" s="2" t="s">
        <v>428</v>
      </c>
      <c r="D233" s="2" t="s">
        <v>26</v>
      </c>
      <c r="E233" s="2" t="s">
        <v>43</v>
      </c>
      <c r="F233" s="2" t="s">
        <v>28</v>
      </c>
      <c r="G233" s="2" t="s">
        <v>337</v>
      </c>
      <c r="H233" s="2" t="s">
        <v>715</v>
      </c>
      <c r="I233" s="2" t="s">
        <v>337</v>
      </c>
      <c r="J233" s="2" t="s">
        <v>337</v>
      </c>
      <c r="K233" s="2" t="s">
        <v>368</v>
      </c>
      <c r="L233" s="2" t="s">
        <v>32</v>
      </c>
      <c r="M233" s="3">
        <v>100</v>
      </c>
      <c r="N233" s="3">
        <v>2.96</v>
      </c>
      <c r="O233" s="3">
        <v>0.53</v>
      </c>
      <c r="P233" s="3">
        <v>96.51</v>
      </c>
      <c r="Q233" s="3">
        <v>0</v>
      </c>
      <c r="R233" s="2" t="s">
        <v>697</v>
      </c>
      <c r="S233" s="2" t="s">
        <v>45</v>
      </c>
      <c r="T233" s="2">
        <v>6017968</v>
      </c>
      <c r="U233" s="2" t="s">
        <v>36</v>
      </c>
      <c r="V233" s="2" t="s">
        <v>716</v>
      </c>
      <c r="W233" s="2">
        <v>214964</v>
      </c>
      <c r="X233" s="2"/>
      <c r="Y233" s="2"/>
      <c r="Z233">
        <v>604</v>
      </c>
      <c r="AA233" t="s">
        <v>48</v>
      </c>
    </row>
    <row r="234" spans="1:27" x14ac:dyDescent="0.25">
      <c r="A234" s="4" t="str">
        <f t="shared" si="7"/>
        <v>2121-266132</v>
      </c>
      <c r="B234" s="18" t="str">
        <f t="shared" si="6"/>
        <v>SERIE: MPP001LL3- POS QR -  VAUCHER N° 8016502 -  OP: 266132</v>
      </c>
      <c r="C234" s="2" t="s">
        <v>428</v>
      </c>
      <c r="D234" s="2" t="s">
        <v>26</v>
      </c>
      <c r="E234" s="2" t="s">
        <v>43</v>
      </c>
      <c r="F234" s="2" t="s">
        <v>28</v>
      </c>
      <c r="G234" s="2" t="s">
        <v>337</v>
      </c>
      <c r="H234" s="2" t="s">
        <v>717</v>
      </c>
      <c r="I234" s="2" t="s">
        <v>337</v>
      </c>
      <c r="J234" s="2" t="s">
        <v>337</v>
      </c>
      <c r="K234" s="2" t="s">
        <v>368</v>
      </c>
      <c r="L234" s="2" t="s">
        <v>32</v>
      </c>
      <c r="M234" s="3">
        <v>218</v>
      </c>
      <c r="N234" s="3">
        <v>6.45</v>
      </c>
      <c r="O234" s="3">
        <v>1.1599999999999999</v>
      </c>
      <c r="P234" s="3">
        <v>210.39</v>
      </c>
      <c r="Q234" s="3">
        <v>0</v>
      </c>
      <c r="R234" s="2" t="s">
        <v>697</v>
      </c>
      <c r="S234" s="2" t="s">
        <v>45</v>
      </c>
      <c r="T234" s="2">
        <v>8016502</v>
      </c>
      <c r="U234" s="2" t="s">
        <v>36</v>
      </c>
      <c r="V234" s="2" t="s">
        <v>718</v>
      </c>
      <c r="W234" s="2">
        <v>266132</v>
      </c>
      <c r="X234" s="2"/>
      <c r="Y234" s="2"/>
      <c r="Z234">
        <v>604</v>
      </c>
      <c r="AA234" t="s">
        <v>48</v>
      </c>
    </row>
    <row r="235" spans="1:27" x14ac:dyDescent="0.25">
      <c r="A235" s="4" t="str">
        <f t="shared" si="7"/>
        <v>2121-661711</v>
      </c>
      <c r="B235" s="18" t="str">
        <f t="shared" si="6"/>
        <v>SERIE: CD8R8313- POS CONTACTLESS CHIP -  VAUCHER N° 0000786 -  OP: 661711</v>
      </c>
      <c r="C235" s="2" t="s">
        <v>428</v>
      </c>
      <c r="D235" s="2" t="s">
        <v>26</v>
      </c>
      <c r="E235" s="2" t="s">
        <v>27</v>
      </c>
      <c r="F235" s="2" t="s">
        <v>28</v>
      </c>
      <c r="G235" s="2" t="s">
        <v>368</v>
      </c>
      <c r="H235" s="2" t="s">
        <v>719</v>
      </c>
      <c r="I235" s="2" t="s">
        <v>368</v>
      </c>
      <c r="J235" s="2" t="s">
        <v>368</v>
      </c>
      <c r="K235" s="2" t="s">
        <v>389</v>
      </c>
      <c r="L235" s="2" t="s">
        <v>32</v>
      </c>
      <c r="M235" s="3">
        <v>319</v>
      </c>
      <c r="N235" s="3">
        <v>9.44</v>
      </c>
      <c r="O235" s="3">
        <v>1.7</v>
      </c>
      <c r="P235" s="3">
        <v>307.86</v>
      </c>
      <c r="Q235" s="3">
        <v>874.36</v>
      </c>
      <c r="R235" s="2" t="s">
        <v>720</v>
      </c>
      <c r="S235" s="2" t="s">
        <v>34</v>
      </c>
      <c r="T235" s="2" t="s">
        <v>721</v>
      </c>
      <c r="U235" s="2" t="s">
        <v>36</v>
      </c>
      <c r="V235" s="2" t="s">
        <v>148</v>
      </c>
      <c r="W235" s="2">
        <v>661711</v>
      </c>
      <c r="X235" s="2"/>
      <c r="Y235" s="2"/>
      <c r="Z235">
        <v>604</v>
      </c>
      <c r="AA235" t="s">
        <v>433</v>
      </c>
    </row>
    <row r="236" spans="1:27" x14ac:dyDescent="0.25">
      <c r="A236" s="4" t="str">
        <f t="shared" si="7"/>
        <v>2121-351883</v>
      </c>
      <c r="B236" s="18" t="str">
        <f t="shared" si="6"/>
        <v>SERIE: CD8R8313- POS CONTACTLESS CHIP -  VAUCHER N° 0000784 -  OP: 351883</v>
      </c>
      <c r="C236" s="2" t="s">
        <v>428</v>
      </c>
      <c r="D236" s="2" t="s">
        <v>26</v>
      </c>
      <c r="E236" s="2" t="s">
        <v>27</v>
      </c>
      <c r="F236" s="2" t="s">
        <v>28</v>
      </c>
      <c r="G236" s="2" t="s">
        <v>368</v>
      </c>
      <c r="H236" s="2" t="s">
        <v>722</v>
      </c>
      <c r="I236" s="2" t="s">
        <v>368</v>
      </c>
      <c r="J236" s="2" t="s">
        <v>368</v>
      </c>
      <c r="K236" s="2" t="s">
        <v>389</v>
      </c>
      <c r="L236" s="2" t="s">
        <v>32</v>
      </c>
      <c r="M236" s="3">
        <v>77</v>
      </c>
      <c r="N236" s="3">
        <v>2.2799999999999998</v>
      </c>
      <c r="O236" s="3">
        <v>0.41</v>
      </c>
      <c r="P236" s="3">
        <v>74.31</v>
      </c>
      <c r="Q236" s="3">
        <v>0</v>
      </c>
      <c r="R236" s="2" t="s">
        <v>720</v>
      </c>
      <c r="S236" s="2" t="s">
        <v>34</v>
      </c>
      <c r="T236" s="2" t="s">
        <v>723</v>
      </c>
      <c r="U236" s="2" t="s">
        <v>36</v>
      </c>
      <c r="V236" s="2" t="s">
        <v>724</v>
      </c>
      <c r="W236" s="2">
        <v>351883</v>
      </c>
      <c r="X236" s="2"/>
      <c r="Y236" s="2"/>
      <c r="Z236">
        <v>604</v>
      </c>
      <c r="AA236" t="s">
        <v>433</v>
      </c>
    </row>
    <row r="237" spans="1:27" x14ac:dyDescent="0.25">
      <c r="A237" s="4" t="str">
        <f t="shared" si="7"/>
        <v>2121-087333</v>
      </c>
      <c r="B237" s="18" t="str">
        <f t="shared" si="6"/>
        <v>SERIE: CD8R8313- POS CONTACTLESS CHIP -  VAUCHER N° 0000782 -  OP: 087333</v>
      </c>
      <c r="C237" s="2" t="s">
        <v>428</v>
      </c>
      <c r="D237" s="2" t="s">
        <v>26</v>
      </c>
      <c r="E237" s="2" t="s">
        <v>27</v>
      </c>
      <c r="F237" s="2" t="s">
        <v>28</v>
      </c>
      <c r="G237" s="2" t="s">
        <v>368</v>
      </c>
      <c r="H237" s="2" t="s">
        <v>725</v>
      </c>
      <c r="I237" s="2" t="s">
        <v>368</v>
      </c>
      <c r="J237" s="2" t="s">
        <v>368</v>
      </c>
      <c r="K237" s="2" t="s">
        <v>389</v>
      </c>
      <c r="L237" s="2" t="s">
        <v>32</v>
      </c>
      <c r="M237" s="3">
        <v>105</v>
      </c>
      <c r="N237" s="3">
        <v>3.11</v>
      </c>
      <c r="O237" s="3">
        <v>0.56000000000000005</v>
      </c>
      <c r="P237" s="3">
        <v>101.33</v>
      </c>
      <c r="Q237" s="3">
        <v>0</v>
      </c>
      <c r="R237" s="2" t="s">
        <v>720</v>
      </c>
      <c r="S237" s="2" t="s">
        <v>34</v>
      </c>
      <c r="T237" s="2" t="s">
        <v>726</v>
      </c>
      <c r="U237" s="2" t="s">
        <v>36</v>
      </c>
      <c r="V237" s="2" t="s">
        <v>727</v>
      </c>
      <c r="W237" s="2" t="s">
        <v>728</v>
      </c>
      <c r="X237" s="2"/>
      <c r="Y237" s="2"/>
      <c r="Z237">
        <v>604</v>
      </c>
      <c r="AA237" t="s">
        <v>433</v>
      </c>
    </row>
    <row r="238" spans="1:27" x14ac:dyDescent="0.25">
      <c r="A238" s="4" t="str">
        <f t="shared" si="7"/>
        <v>2121-000978</v>
      </c>
      <c r="B238" s="18" t="str">
        <f t="shared" si="6"/>
        <v>SERIE: CD8R8313- POS CONTACTLESS CHIP -  VAUCHER N° 0000780 -  OP: 000978</v>
      </c>
      <c r="C238" s="2" t="s">
        <v>428</v>
      </c>
      <c r="D238" s="2" t="s">
        <v>26</v>
      </c>
      <c r="E238" s="2" t="s">
        <v>27</v>
      </c>
      <c r="F238" s="2" t="s">
        <v>28</v>
      </c>
      <c r="G238" s="2" t="s">
        <v>368</v>
      </c>
      <c r="H238" s="2" t="s">
        <v>729</v>
      </c>
      <c r="I238" s="2" t="s">
        <v>368</v>
      </c>
      <c r="J238" s="2" t="s">
        <v>368</v>
      </c>
      <c r="K238" s="2" t="s">
        <v>389</v>
      </c>
      <c r="L238" s="2" t="s">
        <v>32</v>
      </c>
      <c r="M238" s="3">
        <v>120</v>
      </c>
      <c r="N238" s="3">
        <v>3.55</v>
      </c>
      <c r="O238" s="3">
        <v>0.64</v>
      </c>
      <c r="P238" s="3">
        <v>115.81</v>
      </c>
      <c r="Q238" s="3">
        <v>0</v>
      </c>
      <c r="R238" s="2" t="s">
        <v>720</v>
      </c>
      <c r="S238" s="2" t="s">
        <v>34</v>
      </c>
      <c r="T238" s="2" t="s">
        <v>730</v>
      </c>
      <c r="U238" s="2" t="s">
        <v>36</v>
      </c>
      <c r="V238" s="2" t="s">
        <v>731</v>
      </c>
      <c r="W238" s="2" t="s">
        <v>732</v>
      </c>
      <c r="X238" s="2"/>
      <c r="Y238" s="2"/>
      <c r="Z238">
        <v>604</v>
      </c>
      <c r="AA238" t="s">
        <v>433</v>
      </c>
    </row>
    <row r="239" spans="1:27" x14ac:dyDescent="0.25">
      <c r="A239" s="4" t="str">
        <f t="shared" si="7"/>
        <v>2121-205748</v>
      </c>
      <c r="B239" s="18" t="str">
        <f t="shared" si="6"/>
        <v>SERIE: CD8R8313- POS CONTACTLESS CHIP -  VAUCHER N° 0000778 -  OP: 205748</v>
      </c>
      <c r="C239" s="2" t="s">
        <v>428</v>
      </c>
      <c r="D239" s="2" t="s">
        <v>26</v>
      </c>
      <c r="E239" s="2" t="s">
        <v>27</v>
      </c>
      <c r="F239" s="2" t="s">
        <v>28</v>
      </c>
      <c r="G239" s="2" t="s">
        <v>368</v>
      </c>
      <c r="H239" s="2" t="s">
        <v>733</v>
      </c>
      <c r="I239" s="2" t="s">
        <v>368</v>
      </c>
      <c r="J239" s="2" t="s">
        <v>368</v>
      </c>
      <c r="K239" s="2" t="s">
        <v>389</v>
      </c>
      <c r="L239" s="2" t="s">
        <v>32</v>
      </c>
      <c r="M239" s="3">
        <v>40</v>
      </c>
      <c r="N239" s="3">
        <v>1.18</v>
      </c>
      <c r="O239" s="3">
        <v>0.21</v>
      </c>
      <c r="P239" s="3">
        <v>38.61</v>
      </c>
      <c r="Q239" s="3">
        <v>0</v>
      </c>
      <c r="R239" s="2" t="s">
        <v>720</v>
      </c>
      <c r="S239" s="2" t="s">
        <v>34</v>
      </c>
      <c r="T239" s="2" t="s">
        <v>734</v>
      </c>
      <c r="U239" s="2" t="s">
        <v>36</v>
      </c>
      <c r="V239" s="2" t="s">
        <v>735</v>
      </c>
      <c r="W239" s="2">
        <v>205748</v>
      </c>
      <c r="X239" s="2"/>
      <c r="Y239" s="2"/>
      <c r="Z239">
        <v>604</v>
      </c>
      <c r="AA239" t="s">
        <v>433</v>
      </c>
    </row>
    <row r="240" spans="1:27" x14ac:dyDescent="0.25">
      <c r="A240" s="4" t="str">
        <f t="shared" si="7"/>
        <v>2121-185209</v>
      </c>
      <c r="B240" s="18" t="str">
        <f t="shared" si="6"/>
        <v>SERIE: CD8R8313- POS CONTACTLESS CHIP -  VAUCHER N° 0000776 -  OP: 185209</v>
      </c>
      <c r="C240" s="2" t="s">
        <v>428</v>
      </c>
      <c r="D240" s="2" t="s">
        <v>26</v>
      </c>
      <c r="E240" s="2" t="s">
        <v>27</v>
      </c>
      <c r="F240" s="2" t="s">
        <v>28</v>
      </c>
      <c r="G240" s="2" t="s">
        <v>368</v>
      </c>
      <c r="H240" s="2" t="s">
        <v>736</v>
      </c>
      <c r="I240" s="2" t="s">
        <v>368</v>
      </c>
      <c r="J240" s="2" t="s">
        <v>368</v>
      </c>
      <c r="K240" s="2" t="s">
        <v>389</v>
      </c>
      <c r="L240" s="2" t="s">
        <v>32</v>
      </c>
      <c r="M240" s="3">
        <v>45</v>
      </c>
      <c r="N240" s="3">
        <v>1.33</v>
      </c>
      <c r="O240" s="3">
        <v>0.24</v>
      </c>
      <c r="P240" s="3">
        <v>43.43</v>
      </c>
      <c r="Q240" s="3">
        <v>0</v>
      </c>
      <c r="R240" s="2" t="s">
        <v>720</v>
      </c>
      <c r="S240" s="2" t="s">
        <v>34</v>
      </c>
      <c r="T240" s="2" t="s">
        <v>737</v>
      </c>
      <c r="U240" s="2" t="s">
        <v>36</v>
      </c>
      <c r="V240" s="2" t="s">
        <v>735</v>
      </c>
      <c r="W240" s="2">
        <v>185209</v>
      </c>
      <c r="X240" s="2"/>
      <c r="Y240" s="2"/>
      <c r="Z240">
        <v>604</v>
      </c>
      <c r="AA240" t="s">
        <v>433</v>
      </c>
    </row>
    <row r="241" spans="1:27" x14ac:dyDescent="0.25">
      <c r="A241" s="4" t="str">
        <f t="shared" si="7"/>
        <v>2121-228577</v>
      </c>
      <c r="B241" s="18" t="str">
        <f t="shared" si="6"/>
        <v>SERIE: MPP001LL3- POS QR -  VAUCHER N° 7001829 -  OP: 228577</v>
      </c>
      <c r="C241" s="2" t="s">
        <v>428</v>
      </c>
      <c r="D241" s="2" t="s">
        <v>26</v>
      </c>
      <c r="E241" s="2" t="s">
        <v>43</v>
      </c>
      <c r="F241" s="2" t="s">
        <v>28</v>
      </c>
      <c r="G241" s="2" t="s">
        <v>368</v>
      </c>
      <c r="H241" s="2" t="s">
        <v>738</v>
      </c>
      <c r="I241" s="2" t="s">
        <v>389</v>
      </c>
      <c r="J241" s="2" t="s">
        <v>368</v>
      </c>
      <c r="K241" s="2" t="s">
        <v>389</v>
      </c>
      <c r="L241" s="2" t="s">
        <v>32</v>
      </c>
      <c r="M241" s="3">
        <v>200</v>
      </c>
      <c r="N241" s="3">
        <v>5.92</v>
      </c>
      <c r="O241" s="3">
        <v>1.07</v>
      </c>
      <c r="P241" s="3">
        <v>193.01</v>
      </c>
      <c r="Q241" s="3">
        <v>0</v>
      </c>
      <c r="R241" s="2" t="s">
        <v>720</v>
      </c>
      <c r="S241" s="2" t="s">
        <v>45</v>
      </c>
      <c r="T241" s="2">
        <v>7001829</v>
      </c>
      <c r="U241" s="2" t="s">
        <v>36</v>
      </c>
      <c r="V241" s="2" t="s">
        <v>739</v>
      </c>
      <c r="W241" s="2">
        <v>228577</v>
      </c>
      <c r="X241" s="2"/>
      <c r="Y241" s="2"/>
      <c r="Z241">
        <v>604</v>
      </c>
      <c r="AA241" t="s">
        <v>48</v>
      </c>
    </row>
    <row r="242" spans="1:27" x14ac:dyDescent="0.25">
      <c r="A242" s="4" t="str">
        <f t="shared" si="7"/>
        <v>2121-595154</v>
      </c>
      <c r="B242" s="18" t="str">
        <f t="shared" si="6"/>
        <v>SERIE: CD8R8313- POS CONTACTLESS CHIP -  VAUCHER N° 0000817 -  OP: 595154</v>
      </c>
      <c r="C242" s="2" t="s">
        <v>428</v>
      </c>
      <c r="D242" s="2" t="s">
        <v>26</v>
      </c>
      <c r="E242" s="2" t="s">
        <v>27</v>
      </c>
      <c r="F242" s="2" t="s">
        <v>28</v>
      </c>
      <c r="G242" s="2" t="s">
        <v>408</v>
      </c>
      <c r="H242" s="2" t="s">
        <v>740</v>
      </c>
      <c r="I242" s="2" t="s">
        <v>408</v>
      </c>
      <c r="J242" s="2" t="s">
        <v>408</v>
      </c>
      <c r="K242" s="2" t="s">
        <v>412</v>
      </c>
      <c r="L242" s="2" t="s">
        <v>32</v>
      </c>
      <c r="M242" s="3">
        <v>593</v>
      </c>
      <c r="N242" s="3">
        <v>17.55</v>
      </c>
      <c r="O242" s="3">
        <v>3.16</v>
      </c>
      <c r="P242" s="3">
        <v>572.29</v>
      </c>
      <c r="Q242" s="3">
        <v>1083.77</v>
      </c>
      <c r="R242" s="2" t="s">
        <v>741</v>
      </c>
      <c r="S242" s="2" t="s">
        <v>34</v>
      </c>
      <c r="T242" s="2" t="s">
        <v>742</v>
      </c>
      <c r="U242" s="2" t="s">
        <v>36</v>
      </c>
      <c r="V242" s="2" t="s">
        <v>743</v>
      </c>
      <c r="W242" s="2">
        <v>595154</v>
      </c>
      <c r="X242" s="2"/>
      <c r="Y242" s="2"/>
      <c r="Z242">
        <v>604</v>
      </c>
      <c r="AA242" t="s">
        <v>433</v>
      </c>
    </row>
    <row r="243" spans="1:27" x14ac:dyDescent="0.25">
      <c r="A243" s="4" t="str">
        <f t="shared" si="7"/>
        <v>2121-052607</v>
      </c>
      <c r="B243" s="18" t="str">
        <f t="shared" si="6"/>
        <v>SERIE: CD8R8313- POS CONTACTLESS CHIP -  VAUCHER N° 0000812 -  OP: 052607</v>
      </c>
      <c r="C243" s="2" t="s">
        <v>428</v>
      </c>
      <c r="D243" s="2" t="s">
        <v>26</v>
      </c>
      <c r="E243" s="2" t="s">
        <v>27</v>
      </c>
      <c r="F243" s="2" t="s">
        <v>28</v>
      </c>
      <c r="G243" s="2" t="s">
        <v>408</v>
      </c>
      <c r="H243" s="2" t="s">
        <v>744</v>
      </c>
      <c r="I243" s="2" t="s">
        <v>408</v>
      </c>
      <c r="J243" s="2" t="s">
        <v>408</v>
      </c>
      <c r="K243" s="2" t="s">
        <v>412</v>
      </c>
      <c r="L243" s="2" t="s">
        <v>32</v>
      </c>
      <c r="M243" s="3">
        <v>120</v>
      </c>
      <c r="N243" s="3">
        <v>3.55</v>
      </c>
      <c r="O243" s="3">
        <v>0.64</v>
      </c>
      <c r="P243" s="3">
        <v>115.81</v>
      </c>
      <c r="Q243" s="3">
        <v>0</v>
      </c>
      <c r="R243" s="2" t="s">
        <v>741</v>
      </c>
      <c r="S243" s="2" t="s">
        <v>34</v>
      </c>
      <c r="T243" s="2" t="s">
        <v>745</v>
      </c>
      <c r="U243" s="2" t="s">
        <v>36</v>
      </c>
      <c r="V243" s="2" t="s">
        <v>479</v>
      </c>
      <c r="W243" s="2" t="s">
        <v>746</v>
      </c>
      <c r="X243" s="2"/>
      <c r="Y243" s="2"/>
      <c r="Z243">
        <v>604</v>
      </c>
      <c r="AA243" t="s">
        <v>433</v>
      </c>
    </row>
    <row r="244" spans="1:27" x14ac:dyDescent="0.25">
      <c r="A244" s="4" t="str">
        <f t="shared" si="7"/>
        <v>2121-055200</v>
      </c>
      <c r="B244" s="18" t="str">
        <f t="shared" si="6"/>
        <v>SERIE: MPP001LL3- POS QR -  VAUCHER N° 9021356 -  OP: 055200</v>
      </c>
      <c r="C244" s="2" t="s">
        <v>428</v>
      </c>
      <c r="D244" s="2" t="s">
        <v>26</v>
      </c>
      <c r="E244" s="2" t="s">
        <v>43</v>
      </c>
      <c r="F244" s="2" t="s">
        <v>28</v>
      </c>
      <c r="G244" s="2" t="s">
        <v>408</v>
      </c>
      <c r="H244" s="2" t="s">
        <v>747</v>
      </c>
      <c r="I244" s="2" t="s">
        <v>408</v>
      </c>
      <c r="J244" s="2" t="s">
        <v>408</v>
      </c>
      <c r="K244" s="2" t="s">
        <v>412</v>
      </c>
      <c r="L244" s="2" t="s">
        <v>32</v>
      </c>
      <c r="M244" s="3">
        <v>80</v>
      </c>
      <c r="N244" s="3">
        <v>2.37</v>
      </c>
      <c r="O244" s="3">
        <v>0.43</v>
      </c>
      <c r="P244" s="3">
        <v>77.2</v>
      </c>
      <c r="Q244" s="3">
        <v>0</v>
      </c>
      <c r="R244" s="2" t="s">
        <v>741</v>
      </c>
      <c r="S244" s="2" t="s">
        <v>45</v>
      </c>
      <c r="T244" s="2">
        <v>9021356</v>
      </c>
      <c r="U244" s="2" t="s">
        <v>36</v>
      </c>
      <c r="V244" s="2" t="s">
        <v>527</v>
      </c>
      <c r="W244" s="2" t="s">
        <v>748</v>
      </c>
      <c r="X244" s="2"/>
      <c r="Y244" s="2"/>
      <c r="Z244">
        <v>604</v>
      </c>
      <c r="AA244" t="s">
        <v>48</v>
      </c>
    </row>
    <row r="245" spans="1:27" x14ac:dyDescent="0.25">
      <c r="A245" s="4" t="str">
        <f t="shared" si="7"/>
        <v>2121-119213</v>
      </c>
      <c r="B245" s="18" t="str">
        <f t="shared" si="6"/>
        <v>SERIE: MPP001LL3- POS QR -  VAUCHER N° 2019541 -  OP: 119213</v>
      </c>
      <c r="C245" s="2" t="s">
        <v>428</v>
      </c>
      <c r="D245" s="2" t="s">
        <v>26</v>
      </c>
      <c r="E245" s="2" t="s">
        <v>43</v>
      </c>
      <c r="F245" s="2" t="s">
        <v>28</v>
      </c>
      <c r="G245" s="2" t="s">
        <v>408</v>
      </c>
      <c r="H245" s="2" t="s">
        <v>749</v>
      </c>
      <c r="I245" s="2" t="s">
        <v>408</v>
      </c>
      <c r="J245" s="2" t="s">
        <v>408</v>
      </c>
      <c r="K245" s="2" t="s">
        <v>412</v>
      </c>
      <c r="L245" s="2" t="s">
        <v>32</v>
      </c>
      <c r="M245" s="3">
        <v>45</v>
      </c>
      <c r="N245" s="3">
        <v>1.33</v>
      </c>
      <c r="O245" s="3">
        <v>0.24</v>
      </c>
      <c r="P245" s="3">
        <v>43.43</v>
      </c>
      <c r="Q245" s="3">
        <v>0</v>
      </c>
      <c r="R245" s="2" t="s">
        <v>741</v>
      </c>
      <c r="S245" s="2" t="s">
        <v>45</v>
      </c>
      <c r="T245" s="2">
        <v>2019541</v>
      </c>
      <c r="U245" s="2" t="s">
        <v>36</v>
      </c>
      <c r="V245" s="2" t="s">
        <v>750</v>
      </c>
      <c r="W245" s="2">
        <v>119213</v>
      </c>
      <c r="X245" s="2"/>
      <c r="Y245" s="2"/>
      <c r="Z245">
        <v>604</v>
      </c>
      <c r="AA245" t="s">
        <v>48</v>
      </c>
    </row>
    <row r="246" spans="1:27" x14ac:dyDescent="0.25">
      <c r="A246" s="4" t="str">
        <f t="shared" si="7"/>
        <v>2121-185151</v>
      </c>
      <c r="B246" s="18" t="str">
        <f t="shared" si="6"/>
        <v>SERIE: MPP001LL3- POS QR -  VAUCHER N° 4040060 -  OP: 185151</v>
      </c>
      <c r="C246" s="2" t="s">
        <v>428</v>
      </c>
      <c r="D246" s="2" t="s">
        <v>26</v>
      </c>
      <c r="E246" s="2" t="s">
        <v>43</v>
      </c>
      <c r="F246" s="2" t="s">
        <v>28</v>
      </c>
      <c r="G246" s="2" t="s">
        <v>408</v>
      </c>
      <c r="H246" s="2" t="s">
        <v>751</v>
      </c>
      <c r="I246" s="2" t="s">
        <v>408</v>
      </c>
      <c r="J246" s="2" t="s">
        <v>408</v>
      </c>
      <c r="K246" s="2" t="s">
        <v>412</v>
      </c>
      <c r="L246" s="2" t="s">
        <v>32</v>
      </c>
      <c r="M246" s="3">
        <v>285</v>
      </c>
      <c r="N246" s="3">
        <v>8.44</v>
      </c>
      <c r="O246" s="3">
        <v>1.52</v>
      </c>
      <c r="P246" s="3">
        <v>275.04000000000002</v>
      </c>
      <c r="Q246" s="3">
        <v>0</v>
      </c>
      <c r="R246" s="2" t="s">
        <v>741</v>
      </c>
      <c r="S246" s="2" t="s">
        <v>45</v>
      </c>
      <c r="T246" s="2">
        <v>4040060</v>
      </c>
      <c r="U246" s="2" t="s">
        <v>36</v>
      </c>
      <c r="V246" s="2" t="s">
        <v>752</v>
      </c>
      <c r="W246" s="2">
        <v>185151</v>
      </c>
      <c r="X246" s="2"/>
      <c r="Y246" s="2"/>
      <c r="Z246">
        <v>604</v>
      </c>
      <c r="AA246" t="s">
        <v>48</v>
      </c>
    </row>
    <row r="247" spans="1:27" x14ac:dyDescent="0.25">
      <c r="A247" s="4" t="str">
        <f t="shared" si="7"/>
        <v>2121-</v>
      </c>
      <c r="B247" s="18" t="str">
        <f t="shared" si="6"/>
        <v xml:space="preserve">SERIE: - No Especificado -  VAUCHER N°  -  OP: </v>
      </c>
      <c r="C247" s="2" t="s">
        <v>428</v>
      </c>
      <c r="D247" s="2" t="s">
        <v>422</v>
      </c>
      <c r="E247" s="2" t="s">
        <v>423</v>
      </c>
      <c r="F247" s="2" t="s">
        <v>423</v>
      </c>
      <c r="G247" s="2" t="s">
        <v>424</v>
      </c>
      <c r="H247" s="2" t="s">
        <v>425</v>
      </c>
      <c r="I247" s="2" t="s">
        <v>424</v>
      </c>
      <c r="J247" s="2" t="s">
        <v>424</v>
      </c>
      <c r="K247" s="2" t="s">
        <v>424</v>
      </c>
      <c r="L247" s="2"/>
      <c r="M247" s="3">
        <v>-1</v>
      </c>
      <c r="N247" s="3">
        <v>0</v>
      </c>
      <c r="O247" s="3">
        <v>0</v>
      </c>
      <c r="P247" s="3">
        <v>-1</v>
      </c>
      <c r="Q247" s="3">
        <v>0</v>
      </c>
      <c r="R247" s="2"/>
      <c r="S247" s="2"/>
      <c r="T247" s="2"/>
      <c r="U247" s="2" t="s">
        <v>423</v>
      </c>
      <c r="V247" s="2" t="s">
        <v>426</v>
      </c>
      <c r="W247" s="2"/>
      <c r="X247" s="2"/>
      <c r="Y247" s="2"/>
      <c r="Z247">
        <v>604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AD497-65D6-4085-914B-9EC7B1545F42}">
  <sheetPr>
    <tabColor rgb="FFFFFF00"/>
  </sheetPr>
  <dimension ref="A1:M123"/>
  <sheetViews>
    <sheetView showGridLines="0" workbookViewId="0">
      <pane ySplit="3" topLeftCell="A94" activePane="bottomLeft" state="frozen"/>
      <selection sqref="A1:B2"/>
      <selection pane="bottomLeft" activeCell="C119" sqref="C119"/>
    </sheetView>
  </sheetViews>
  <sheetFormatPr baseColWidth="10" defaultRowHeight="15" x14ac:dyDescent="0.25"/>
  <cols>
    <col min="1" max="1" width="8.85546875" bestFit="1" customWidth="1"/>
    <col min="2" max="2" width="10.42578125" customWidth="1"/>
    <col min="3" max="3" width="57.85546875" customWidth="1"/>
    <col min="4" max="4" width="11.5703125" customWidth="1"/>
    <col min="5" max="5" width="10" customWidth="1"/>
    <col min="6" max="6" width="10" bestFit="1" customWidth="1"/>
    <col min="7" max="7" width="11.85546875" bestFit="1" customWidth="1"/>
    <col min="8" max="8" width="8.85546875" bestFit="1" customWidth="1"/>
    <col min="9" max="9" width="10.85546875" bestFit="1" customWidth="1"/>
    <col min="10" max="10" width="10.42578125" bestFit="1" customWidth="1"/>
    <col min="11" max="11" width="15.140625" bestFit="1" customWidth="1"/>
    <col min="12" max="12" width="87" bestFit="1" customWidth="1"/>
    <col min="13" max="13" width="14.140625" customWidth="1"/>
  </cols>
  <sheetData>
    <row r="1" spans="1:13" x14ac:dyDescent="0.25">
      <c r="A1" s="9" t="s">
        <v>767</v>
      </c>
    </row>
    <row r="2" spans="1:13" x14ac:dyDescent="0.25">
      <c r="A2" s="9" t="s">
        <v>766</v>
      </c>
    </row>
    <row r="3" spans="1:13" x14ac:dyDescent="0.25">
      <c r="A3" s="10" t="s">
        <v>753</v>
      </c>
      <c r="B3" s="10" t="s">
        <v>754</v>
      </c>
      <c r="C3" s="10" t="s">
        <v>755</v>
      </c>
      <c r="D3" s="10" t="s">
        <v>756</v>
      </c>
      <c r="E3" s="10" t="s">
        <v>757</v>
      </c>
      <c r="F3" s="10" t="s">
        <v>758</v>
      </c>
      <c r="G3" s="10" t="s">
        <v>759</v>
      </c>
      <c r="H3" s="10" t="s">
        <v>760</v>
      </c>
      <c r="I3" s="10" t="s">
        <v>761</v>
      </c>
      <c r="J3" s="10" t="s">
        <v>762</v>
      </c>
      <c r="K3" s="10" t="s">
        <v>763</v>
      </c>
      <c r="L3" s="10" t="s">
        <v>764</v>
      </c>
      <c r="M3" s="10" t="s">
        <v>765</v>
      </c>
    </row>
    <row r="4" spans="1:13" x14ac:dyDescent="0.25">
      <c r="B4" s="12" t="str">
        <f>+YLV!G2</f>
        <v>02/01/2026</v>
      </c>
      <c r="C4" s="4" t="str">
        <f>+YLV!B2</f>
        <v>SERIE: CD8S9119- POS CONTACTLESS CHIP -  VAUCHER N° 0005417 -  OP: 014280</v>
      </c>
      <c r="D4" s="13">
        <f>+YLV!M2</f>
        <v>75</v>
      </c>
      <c r="E4" s="11"/>
      <c r="F4" s="4" t="str">
        <f>+YLV!C2</f>
        <v>005042111</v>
      </c>
      <c r="G4" s="14" t="str">
        <f>+YLV!A2</f>
        <v>2111-014280</v>
      </c>
      <c r="H4" s="4" t="str">
        <f>+YLV!H2</f>
        <v>18:36:19</v>
      </c>
      <c r="I4" s="4" t="str">
        <f>+YLV!R2</f>
        <v>0794</v>
      </c>
      <c r="J4" s="11"/>
      <c r="K4" s="4" t="str">
        <f>CONCATENATE(,G4)</f>
        <v>2111-014280</v>
      </c>
      <c r="L4" s="4" t="str">
        <f>CONCATENATE(K4," -",C4)</f>
        <v>2111-014280 -SERIE: CD8S9119- POS CONTACTLESS CHIP -  VAUCHER N° 0005417 -  OP: 014280</v>
      </c>
      <c r="M4" s="5"/>
    </row>
    <row r="5" spans="1:13" x14ac:dyDescent="0.25">
      <c r="B5" s="12" t="str">
        <f>+YLV!G3</f>
        <v>02/01/2026</v>
      </c>
      <c r="C5" s="4" t="str">
        <f>+YLV!B3</f>
        <v>SERIE: CD8S9119- POS CONTACTLESS CHIP -  VAUCHER N° 0005415 -  OP: 441056</v>
      </c>
      <c r="D5" s="13">
        <f>+YLV!M3</f>
        <v>75</v>
      </c>
      <c r="E5" s="11"/>
      <c r="F5" s="4" t="str">
        <f>+YLV!C3</f>
        <v>005042111</v>
      </c>
      <c r="G5" s="14" t="str">
        <f>+YLV!A3</f>
        <v>2111-441056</v>
      </c>
      <c r="H5" s="4" t="str">
        <f>+YLV!H3</f>
        <v>15:47:37</v>
      </c>
      <c r="I5" s="4" t="str">
        <f>+YLV!R3</f>
        <v>0794</v>
      </c>
      <c r="J5" s="11"/>
      <c r="K5" s="4" t="str">
        <f t="shared" ref="K5:K68" si="0">CONCATENATE(,G5)</f>
        <v>2111-441056</v>
      </c>
      <c r="L5" s="4" t="str">
        <f t="shared" ref="L5:L68" si="1">CONCATENATE(K5," -",C5)</f>
        <v>2111-441056 -SERIE: CD8S9119- POS CONTACTLESS CHIP -  VAUCHER N° 0005415 -  OP: 441056</v>
      </c>
      <c r="M5" s="5"/>
    </row>
    <row r="6" spans="1:13" x14ac:dyDescent="0.25">
      <c r="B6" s="12" t="str">
        <f>+YLV!G4</f>
        <v>02/01/2026</v>
      </c>
      <c r="C6" s="4" t="str">
        <f>+YLV!B4</f>
        <v>SERIE: MPP001LL3- POS QR -  VAUCHER N° 2016017 -  OP: 088495</v>
      </c>
      <c r="D6" s="13">
        <f>+YLV!M4</f>
        <v>65</v>
      </c>
      <c r="E6" s="11"/>
      <c r="F6" s="4" t="str">
        <f>+YLV!C4</f>
        <v>005042111</v>
      </c>
      <c r="G6" s="14" t="str">
        <f>+YLV!A4</f>
        <v>2111-088495</v>
      </c>
      <c r="H6" s="4" t="str">
        <f>+YLV!H4</f>
        <v>12:23:07</v>
      </c>
      <c r="I6" s="4" t="str">
        <f>+YLV!R4</f>
        <v>0794</v>
      </c>
      <c r="J6" s="11"/>
      <c r="K6" s="4" t="str">
        <f t="shared" si="0"/>
        <v>2111-088495</v>
      </c>
      <c r="L6" s="4" t="str">
        <f t="shared" si="1"/>
        <v>2111-088495 -SERIE: MPP001LL3- POS QR -  VAUCHER N° 2016017 -  OP: 088495</v>
      </c>
      <c r="M6" s="5"/>
    </row>
    <row r="7" spans="1:13" x14ac:dyDescent="0.25">
      <c r="B7" s="12" t="str">
        <f>+YLV!G5</f>
        <v>05/01/2026</v>
      </c>
      <c r="C7" s="4" t="str">
        <f>+YLV!B5</f>
        <v>SERIE: CD8S9119- POS CONTACTLESS CHIP -  VAUCHER N° 0005431 -  OP: 073489</v>
      </c>
      <c r="D7" s="13">
        <f>+YLV!M5</f>
        <v>50</v>
      </c>
      <c r="E7" s="11"/>
      <c r="F7" s="4" t="str">
        <f>+YLV!C5</f>
        <v>005042111</v>
      </c>
      <c r="G7" s="14" t="str">
        <f>+YLV!A5</f>
        <v>2111-073489</v>
      </c>
      <c r="H7" s="4" t="str">
        <f>+YLV!H5</f>
        <v>14:48:18</v>
      </c>
      <c r="I7" s="4" t="str">
        <f>+YLV!R5</f>
        <v>0795</v>
      </c>
      <c r="J7" s="11"/>
      <c r="K7" s="4" t="str">
        <f t="shared" si="0"/>
        <v>2111-073489</v>
      </c>
      <c r="L7" s="4" t="str">
        <f t="shared" si="1"/>
        <v>2111-073489 -SERIE: CD8S9119- POS CONTACTLESS CHIP -  VAUCHER N° 0005431 -  OP: 073489</v>
      </c>
      <c r="M7" s="5"/>
    </row>
    <row r="8" spans="1:13" x14ac:dyDescent="0.25">
      <c r="B8" s="12" t="str">
        <f>+YLV!G6</f>
        <v>05/01/2026</v>
      </c>
      <c r="C8" s="4" t="str">
        <f>+YLV!B6</f>
        <v>SERIE: MPP001LL3- POS QR -  VAUCHER N° 4008753 -  OP: 127970</v>
      </c>
      <c r="D8" s="13">
        <f>+YLV!M6</f>
        <v>20</v>
      </c>
      <c r="E8" s="11"/>
      <c r="F8" s="4" t="str">
        <f>+YLV!C6</f>
        <v>005042111</v>
      </c>
      <c r="G8" s="14" t="str">
        <f>+YLV!A6</f>
        <v>2111-127970</v>
      </c>
      <c r="H8" s="4" t="str">
        <f>+YLV!H6</f>
        <v>14:11:54</v>
      </c>
      <c r="I8" s="4" t="str">
        <f>+YLV!R6</f>
        <v>0795</v>
      </c>
      <c r="J8" s="11"/>
      <c r="K8" s="4" t="str">
        <f t="shared" si="0"/>
        <v>2111-127970</v>
      </c>
      <c r="L8" s="4" t="str">
        <f t="shared" si="1"/>
        <v>2111-127970 -SERIE: MPP001LL3- POS QR -  VAUCHER N° 4008753 -  OP: 127970</v>
      </c>
      <c r="M8" s="5"/>
    </row>
    <row r="9" spans="1:13" x14ac:dyDescent="0.25">
      <c r="B9" s="12" t="str">
        <f>+YLV!G7</f>
        <v>05/01/2026</v>
      </c>
      <c r="C9" s="4" t="str">
        <f>+YLV!B7</f>
        <v>SERIE: MPP001LL3- POS QR -  VAUCHER N° 7009900 -  OP: 185796</v>
      </c>
      <c r="D9" s="13">
        <f>+YLV!M7</f>
        <v>80</v>
      </c>
      <c r="E9" s="11"/>
      <c r="F9" s="4" t="str">
        <f>+YLV!C7</f>
        <v>005042111</v>
      </c>
      <c r="G9" s="14" t="str">
        <f>+YLV!A7</f>
        <v>2111-185796</v>
      </c>
      <c r="H9" s="4" t="str">
        <f>+YLV!H7</f>
        <v>17:12:55</v>
      </c>
      <c r="I9" s="4" t="str">
        <f>+YLV!R7</f>
        <v>0795</v>
      </c>
      <c r="J9" s="11"/>
      <c r="K9" s="4" t="str">
        <f t="shared" si="0"/>
        <v>2111-185796</v>
      </c>
      <c r="L9" s="4" t="str">
        <f t="shared" si="1"/>
        <v>2111-185796 -SERIE: MPP001LL3- POS QR -  VAUCHER N° 7009900 -  OP: 185796</v>
      </c>
      <c r="M9" s="5"/>
    </row>
    <row r="10" spans="1:13" x14ac:dyDescent="0.25">
      <c r="B10" s="12" t="str">
        <f>+YLV!G8</f>
        <v>05/01/2026</v>
      </c>
      <c r="C10" s="4" t="str">
        <f>+YLV!B8</f>
        <v>SERIE: MPP001LL3- POS QR -  VAUCHER N° 6015706 -  OP: 168833</v>
      </c>
      <c r="D10" s="13">
        <f>+YLV!M8</f>
        <v>80</v>
      </c>
      <c r="E10" s="11"/>
      <c r="F10" s="4" t="str">
        <f>+YLV!C8</f>
        <v>005042111</v>
      </c>
      <c r="G10" s="14" t="str">
        <f>+YLV!A8</f>
        <v>2111-168833</v>
      </c>
      <c r="H10" s="4" t="str">
        <f>+YLV!H8</f>
        <v>16:22:54</v>
      </c>
      <c r="I10" s="4" t="str">
        <f>+YLV!R8</f>
        <v>0795</v>
      </c>
      <c r="J10" s="11"/>
      <c r="K10" s="4" t="str">
        <f t="shared" si="0"/>
        <v>2111-168833</v>
      </c>
      <c r="L10" s="4" t="str">
        <f t="shared" si="1"/>
        <v>2111-168833 -SERIE: MPP001LL3- POS QR -  VAUCHER N° 6015706 -  OP: 168833</v>
      </c>
      <c r="M10" s="5"/>
    </row>
    <row r="11" spans="1:13" x14ac:dyDescent="0.25">
      <c r="B11" s="12" t="str">
        <f>+YLV!G9</f>
        <v>05/01/2026</v>
      </c>
      <c r="C11" s="4" t="str">
        <f>+YLV!B9</f>
        <v>SERIE: PAYZEN- E-COMMERCE -  VAUCHER N° 6983331 -  OP: 934332</v>
      </c>
      <c r="D11" s="13">
        <f>+YLV!M9</f>
        <v>1061</v>
      </c>
      <c r="E11" s="11"/>
      <c r="F11" s="4" t="str">
        <f>+YLV!C9</f>
        <v>005042111</v>
      </c>
      <c r="G11" s="14" t="str">
        <f>+YLV!A9</f>
        <v>2111-934332</v>
      </c>
      <c r="H11" s="4" t="str">
        <f>+YLV!H9</f>
        <v>18:23:54</v>
      </c>
      <c r="I11" s="4">
        <f>+YLV!R9</f>
        <v>0</v>
      </c>
      <c r="J11" s="11"/>
      <c r="K11" s="4" t="str">
        <f t="shared" si="0"/>
        <v>2111-934332</v>
      </c>
      <c r="L11" s="4" t="str">
        <f t="shared" si="1"/>
        <v>2111-934332 -SERIE: PAYZEN- E-COMMERCE -  VAUCHER N° 6983331 -  OP: 934332</v>
      </c>
      <c r="M11" s="5"/>
    </row>
    <row r="12" spans="1:13" x14ac:dyDescent="0.25">
      <c r="B12" s="12" t="str">
        <f>+YLV!G10</f>
        <v>05/01/2026</v>
      </c>
      <c r="C12" s="4" t="str">
        <f>+YLV!B10</f>
        <v>SERIE: PAYZEN- POS VIRTUAL -  VAUCHER N° 6931105 -  OP: 046449</v>
      </c>
      <c r="D12" s="13">
        <f>+YLV!M10</f>
        <v>377.01</v>
      </c>
      <c r="E12" s="11"/>
      <c r="F12" s="4" t="str">
        <f>+YLV!C10</f>
        <v>005042111</v>
      </c>
      <c r="G12" s="14" t="str">
        <f>+YLV!A10</f>
        <v>2111-046449</v>
      </c>
      <c r="H12" s="4" t="str">
        <f>+YLV!H10</f>
        <v>18:52:21</v>
      </c>
      <c r="I12" s="4">
        <f>+YLV!R10</f>
        <v>0</v>
      </c>
      <c r="J12" s="11"/>
      <c r="K12" s="4" t="str">
        <f t="shared" si="0"/>
        <v>2111-046449</v>
      </c>
      <c r="L12" s="4" t="str">
        <f t="shared" si="1"/>
        <v>2111-046449 -SERIE: PAYZEN- POS VIRTUAL -  VAUCHER N° 6931105 -  OP: 046449</v>
      </c>
      <c r="M12" s="5"/>
    </row>
    <row r="13" spans="1:13" x14ac:dyDescent="0.25">
      <c r="B13" s="12" t="str">
        <f>+YLV!G11</f>
        <v>06/01/2026</v>
      </c>
      <c r="C13" s="4" t="str">
        <f>+YLV!B11</f>
        <v>SERIE: CD8S9119- POS CONTACTLESS CHIP -  VAUCHER N° 0005462 -  OP: R00364</v>
      </c>
      <c r="D13" s="13">
        <f>+YLV!M11</f>
        <v>450</v>
      </c>
      <c r="E13" s="11"/>
      <c r="F13" s="4" t="str">
        <f>+YLV!C11</f>
        <v>005042111</v>
      </c>
      <c r="G13" s="14" t="str">
        <f>+YLV!A11</f>
        <v>2111-R00364</v>
      </c>
      <c r="H13" s="4" t="str">
        <f>+YLV!H11</f>
        <v>17:55:18</v>
      </c>
      <c r="I13" s="4" t="str">
        <f>+YLV!R11</f>
        <v>0796</v>
      </c>
      <c r="J13" s="11"/>
      <c r="K13" s="4" t="str">
        <f t="shared" si="0"/>
        <v>2111-R00364</v>
      </c>
      <c r="L13" s="4" t="str">
        <f t="shared" si="1"/>
        <v>2111-R00364 -SERIE: CD8S9119- POS CONTACTLESS CHIP -  VAUCHER N° 0005462 -  OP: R00364</v>
      </c>
      <c r="M13" s="5"/>
    </row>
    <row r="14" spans="1:13" x14ac:dyDescent="0.25">
      <c r="B14" s="12" t="str">
        <f>+YLV!G12</f>
        <v>06/01/2026</v>
      </c>
      <c r="C14" s="4" t="str">
        <f>+YLV!B12</f>
        <v>SERIE: CD8S9119- POS CONTACTLESS CHIP -  VAUCHER N° 0005457 -  OP: 634459</v>
      </c>
      <c r="D14" s="13">
        <f>+YLV!M12</f>
        <v>105</v>
      </c>
      <c r="E14" s="11"/>
      <c r="F14" s="4" t="str">
        <f>+YLV!C12</f>
        <v>005042111</v>
      </c>
      <c r="G14" s="14" t="str">
        <f>+YLV!A12</f>
        <v>2111-634459</v>
      </c>
      <c r="H14" s="4" t="str">
        <f>+YLV!H12</f>
        <v>17:47:44</v>
      </c>
      <c r="I14" s="4" t="str">
        <f>+YLV!R12</f>
        <v>0796</v>
      </c>
      <c r="J14" s="11"/>
      <c r="K14" s="4" t="str">
        <f t="shared" si="0"/>
        <v>2111-634459</v>
      </c>
      <c r="L14" s="4" t="str">
        <f t="shared" si="1"/>
        <v>2111-634459 -SERIE: CD8S9119- POS CONTACTLESS CHIP -  VAUCHER N° 0005457 -  OP: 634459</v>
      </c>
      <c r="M14" s="5"/>
    </row>
    <row r="15" spans="1:13" x14ac:dyDescent="0.25">
      <c r="B15" s="12" t="str">
        <f>+YLV!G13</f>
        <v>06/01/2026</v>
      </c>
      <c r="C15" s="4" t="str">
        <f>+YLV!B13</f>
        <v>SERIE: MPP001LL3- POS QR -  VAUCHER N° 7019849 -  OP: 184430</v>
      </c>
      <c r="D15" s="13">
        <f>+YLV!M13</f>
        <v>45</v>
      </c>
      <c r="E15" s="11"/>
      <c r="F15" s="4" t="str">
        <f>+YLV!C13</f>
        <v>005042111</v>
      </c>
      <c r="G15" s="14" t="str">
        <f>+YLV!A13</f>
        <v>2111-184430</v>
      </c>
      <c r="H15" s="4" t="str">
        <f>+YLV!H13</f>
        <v>17:27:26</v>
      </c>
      <c r="I15" s="4" t="str">
        <f>+YLV!R13</f>
        <v>0796</v>
      </c>
      <c r="J15" s="11"/>
      <c r="K15" s="4" t="str">
        <f t="shared" si="0"/>
        <v>2111-184430</v>
      </c>
      <c r="L15" s="4" t="str">
        <f t="shared" si="1"/>
        <v>2111-184430 -SERIE: MPP001LL3- POS QR -  VAUCHER N° 7019849 -  OP: 184430</v>
      </c>
      <c r="M15" s="5"/>
    </row>
    <row r="16" spans="1:13" x14ac:dyDescent="0.25">
      <c r="B16" s="12" t="str">
        <f>+YLV!G14</f>
        <v>06/01/2026</v>
      </c>
      <c r="C16" s="4" t="str">
        <f>+YLV!B14</f>
        <v>SERIE: MPP001LL3- POS QR -  VAUCHER N° 1023636 -  OP: 071506</v>
      </c>
      <c r="D16" s="13">
        <f>+YLV!M14</f>
        <v>60</v>
      </c>
      <c r="E16" s="11"/>
      <c r="F16" s="4" t="str">
        <f>+YLV!C14</f>
        <v>005042111</v>
      </c>
      <c r="G16" s="14" t="str">
        <f>+YLV!A14</f>
        <v>2111-071506</v>
      </c>
      <c r="H16" s="4" t="str">
        <f>+YLV!H14</f>
        <v>11:38:34</v>
      </c>
      <c r="I16" s="4" t="str">
        <f>+YLV!R14</f>
        <v>0796</v>
      </c>
      <c r="J16" s="11"/>
      <c r="K16" s="4" t="str">
        <f t="shared" si="0"/>
        <v>2111-071506</v>
      </c>
      <c r="L16" s="4" t="str">
        <f t="shared" si="1"/>
        <v>2111-071506 -SERIE: MPP001LL3- POS QR -  VAUCHER N° 1023636 -  OP: 071506</v>
      </c>
      <c r="M16" s="5"/>
    </row>
    <row r="17" spans="2:13" x14ac:dyDescent="0.25">
      <c r="B17" s="12" t="str">
        <f>+YLV!G15</f>
        <v>06/01/2026</v>
      </c>
      <c r="C17" s="4" t="str">
        <f>+YLV!B15</f>
        <v>SERIE: MPP001LL3- POS QR -  VAUCHER N° 0003644 -  OP: 045652</v>
      </c>
      <c r="D17" s="13">
        <f>+YLV!M15</f>
        <v>20</v>
      </c>
      <c r="E17" s="11"/>
      <c r="F17" s="4" t="str">
        <f>+YLV!C15</f>
        <v>005042111</v>
      </c>
      <c r="G17" s="14" t="str">
        <f>+YLV!A15</f>
        <v>2111-045652</v>
      </c>
      <c r="H17" s="4" t="str">
        <f>+YLV!H15</f>
        <v>10:07:08</v>
      </c>
      <c r="I17" s="4" t="str">
        <f>+YLV!R15</f>
        <v>0796</v>
      </c>
      <c r="J17" s="11"/>
      <c r="K17" s="4" t="str">
        <f t="shared" si="0"/>
        <v>2111-045652</v>
      </c>
      <c r="L17" s="4" t="str">
        <f t="shared" si="1"/>
        <v>2111-045652 -SERIE: MPP001LL3- POS QR -  VAUCHER N° 0003644 -  OP: 045652</v>
      </c>
      <c r="M17" s="5"/>
    </row>
    <row r="18" spans="2:13" x14ac:dyDescent="0.25">
      <c r="B18" s="12" t="str">
        <f>+YLV!G16</f>
        <v>06/01/2026</v>
      </c>
      <c r="C18" s="4" t="str">
        <f>+YLV!B16</f>
        <v>SERIE: PAYZEN- POS VIRTUAL -  VAUCHER N° 6840463 -  OP: 762926</v>
      </c>
      <c r="D18" s="13">
        <f>+YLV!M16</f>
        <v>45</v>
      </c>
      <c r="E18" s="11"/>
      <c r="F18" s="4" t="str">
        <f>+YLV!C16</f>
        <v>005042111</v>
      </c>
      <c r="G18" s="14" t="str">
        <f>+YLV!A16</f>
        <v>2111-762926</v>
      </c>
      <c r="H18" s="4" t="str">
        <f>+YLV!H16</f>
        <v>17:34:17</v>
      </c>
      <c r="I18" s="4">
        <f>+YLV!R16</f>
        <v>0</v>
      </c>
      <c r="J18" s="11"/>
      <c r="K18" s="4" t="str">
        <f t="shared" si="0"/>
        <v>2111-762926</v>
      </c>
      <c r="L18" s="4" t="str">
        <f t="shared" si="1"/>
        <v>2111-762926 -SERIE: PAYZEN- POS VIRTUAL -  VAUCHER N° 6840463 -  OP: 762926</v>
      </c>
      <c r="M18" s="5"/>
    </row>
    <row r="19" spans="2:13" x14ac:dyDescent="0.25">
      <c r="B19" s="12" t="str">
        <f>+YLV!G17</f>
        <v>06/01/2026</v>
      </c>
      <c r="C19" s="4" t="str">
        <f>+YLV!B17</f>
        <v>SERIE: PAYZEN- POS VIRTUAL -  VAUCHER N° 6391443 -  OP: 532876</v>
      </c>
      <c r="D19" s="13">
        <f>+YLV!M17</f>
        <v>155</v>
      </c>
      <c r="E19" s="11"/>
      <c r="F19" s="4" t="str">
        <f>+YLV!C17</f>
        <v>005042111</v>
      </c>
      <c r="G19" s="14" t="str">
        <f>+YLV!A17</f>
        <v>2111-532876</v>
      </c>
      <c r="H19" s="4" t="str">
        <f>+YLV!H17</f>
        <v>10:51:52</v>
      </c>
      <c r="I19" s="4">
        <f>+YLV!R17</f>
        <v>0</v>
      </c>
      <c r="J19" s="11"/>
      <c r="K19" s="4" t="str">
        <f t="shared" si="0"/>
        <v>2111-532876</v>
      </c>
      <c r="L19" s="4" t="str">
        <f t="shared" si="1"/>
        <v>2111-532876 -SERIE: PAYZEN- POS VIRTUAL -  VAUCHER N° 6391443 -  OP: 532876</v>
      </c>
      <c r="M19" s="5"/>
    </row>
    <row r="20" spans="2:13" x14ac:dyDescent="0.25">
      <c r="B20" s="12" t="str">
        <f>+YLV!G18</f>
        <v>07/01/2026</v>
      </c>
      <c r="C20" s="4" t="str">
        <f>+YLV!B18</f>
        <v>SERIE: CD8S9119- POS CONTACTLESS CHIP -  VAUCHER N° 0005486 -  OP: 008053</v>
      </c>
      <c r="D20" s="13">
        <f>+YLV!M18</f>
        <v>65</v>
      </c>
      <c r="E20" s="11"/>
      <c r="F20" s="4" t="str">
        <f>+YLV!C18</f>
        <v>005042111</v>
      </c>
      <c r="G20" s="14" t="str">
        <f>+YLV!A18</f>
        <v>2111-008053</v>
      </c>
      <c r="H20" s="4" t="str">
        <f>+YLV!H18</f>
        <v>17:27:56</v>
      </c>
      <c r="I20" s="4" t="str">
        <f>+YLV!R18</f>
        <v>0797</v>
      </c>
      <c r="J20" s="11"/>
      <c r="K20" s="4" t="str">
        <f t="shared" si="0"/>
        <v>2111-008053</v>
      </c>
      <c r="L20" s="4" t="str">
        <f t="shared" si="1"/>
        <v>2111-008053 -SERIE: CD8S9119- POS CONTACTLESS CHIP -  VAUCHER N° 0005486 -  OP: 008053</v>
      </c>
      <c r="M20" s="5"/>
    </row>
    <row r="21" spans="2:13" x14ac:dyDescent="0.25">
      <c r="B21" s="12" t="str">
        <f>+YLV!G19</f>
        <v>07/01/2026</v>
      </c>
      <c r="C21" s="4" t="str">
        <f>+YLV!B19</f>
        <v>SERIE: CD8S9119- POS CONTACTLESS CHIP -  VAUCHER N° 0005475 -  OP: 044933</v>
      </c>
      <c r="D21" s="13">
        <f>+YLV!M19</f>
        <v>115</v>
      </c>
      <c r="E21" s="11"/>
      <c r="F21" s="4" t="str">
        <f>+YLV!C19</f>
        <v>005042111</v>
      </c>
      <c r="G21" s="14" t="str">
        <f>+YLV!A19</f>
        <v>2111-044933</v>
      </c>
      <c r="H21" s="4" t="str">
        <f>+YLV!H19</f>
        <v>15:13:31</v>
      </c>
      <c r="I21" s="4" t="str">
        <f>+YLV!R19</f>
        <v>0797</v>
      </c>
      <c r="J21" s="11"/>
      <c r="K21" s="4" t="str">
        <f t="shared" si="0"/>
        <v>2111-044933</v>
      </c>
      <c r="L21" s="4" t="str">
        <f t="shared" si="1"/>
        <v>2111-044933 -SERIE: CD8S9119- POS CONTACTLESS CHIP -  VAUCHER N° 0005475 -  OP: 044933</v>
      </c>
      <c r="M21" s="5"/>
    </row>
    <row r="22" spans="2:13" x14ac:dyDescent="0.25">
      <c r="B22" s="12" t="str">
        <f>+YLV!G20</f>
        <v>07/01/2026</v>
      </c>
      <c r="C22" s="4" t="str">
        <f>+YLV!B20</f>
        <v>SERIE: MPP001LL3- POS QR -  VAUCHER N° 5026173 -  OP: 151404</v>
      </c>
      <c r="D22" s="13">
        <f>+YLV!M20</f>
        <v>75</v>
      </c>
      <c r="E22" s="11"/>
      <c r="F22" s="4" t="str">
        <f>+YLV!C20</f>
        <v>005042111</v>
      </c>
      <c r="G22" s="14" t="str">
        <f>+YLV!A20</f>
        <v>2111-151404</v>
      </c>
      <c r="H22" s="4" t="str">
        <f>+YLV!H20</f>
        <v>15:44:38</v>
      </c>
      <c r="I22" s="4" t="str">
        <f>+YLV!R20</f>
        <v>0797</v>
      </c>
      <c r="J22" s="11"/>
      <c r="K22" s="4" t="str">
        <f t="shared" si="0"/>
        <v>2111-151404</v>
      </c>
      <c r="L22" s="4" t="str">
        <f t="shared" si="1"/>
        <v>2111-151404 -SERIE: MPP001LL3- POS QR -  VAUCHER N° 5026173 -  OP: 151404</v>
      </c>
      <c r="M22" s="5"/>
    </row>
    <row r="23" spans="2:13" x14ac:dyDescent="0.25">
      <c r="B23" s="12" t="str">
        <f>+YLV!G21</f>
        <v>07/01/2026</v>
      </c>
      <c r="C23" s="4" t="str">
        <f>+YLV!B21</f>
        <v>SERIE: MPP001LL3- POS QR -  VAUCHER N° 5019984 -  OP: 148389</v>
      </c>
      <c r="D23" s="13">
        <f>+YLV!M21</f>
        <v>45</v>
      </c>
      <c r="E23" s="11"/>
      <c r="F23" s="4" t="str">
        <f>+YLV!C21</f>
        <v>005042111</v>
      </c>
      <c r="G23" s="14" t="str">
        <f>+YLV!A21</f>
        <v>2111-148389</v>
      </c>
      <c r="H23" s="4" t="str">
        <f>+YLV!H21</f>
        <v>15:34:10</v>
      </c>
      <c r="I23" s="4" t="str">
        <f>+YLV!R21</f>
        <v>0797</v>
      </c>
      <c r="J23" s="11"/>
      <c r="K23" s="4" t="str">
        <f t="shared" si="0"/>
        <v>2111-148389</v>
      </c>
      <c r="L23" s="4" t="str">
        <f t="shared" si="1"/>
        <v>2111-148389 -SERIE: MPP001LL3- POS QR -  VAUCHER N° 5019984 -  OP: 148389</v>
      </c>
      <c r="M23" s="5"/>
    </row>
    <row r="24" spans="2:13" x14ac:dyDescent="0.25">
      <c r="B24" s="12" t="str">
        <f>+YLV!G22</f>
        <v>07/01/2026</v>
      </c>
      <c r="C24" s="4" t="str">
        <f>+YLV!B22</f>
        <v>SERIE: MPP001LL3- POS QR -  VAUCHER N° 5024465 -  OP: 150576</v>
      </c>
      <c r="D24" s="13">
        <f>+YLV!M22</f>
        <v>75</v>
      </c>
      <c r="E24" s="11"/>
      <c r="F24" s="4" t="str">
        <f>+YLV!C22</f>
        <v>005042111</v>
      </c>
      <c r="G24" s="14" t="str">
        <f>+YLV!A22</f>
        <v>2111-150576</v>
      </c>
      <c r="H24" s="4" t="str">
        <f>+YLV!H22</f>
        <v>15:41:47</v>
      </c>
      <c r="I24" s="4" t="str">
        <f>+YLV!R22</f>
        <v>0797</v>
      </c>
      <c r="J24" s="11"/>
      <c r="K24" s="4" t="str">
        <f t="shared" si="0"/>
        <v>2111-150576</v>
      </c>
      <c r="L24" s="4" t="str">
        <f t="shared" si="1"/>
        <v>2111-150576 -SERIE: MPP001LL3- POS QR -  VAUCHER N° 5024465 -  OP: 150576</v>
      </c>
      <c r="M24" s="5"/>
    </row>
    <row r="25" spans="2:13" x14ac:dyDescent="0.25">
      <c r="B25" s="12" t="str">
        <f>+YLV!G23</f>
        <v>07/01/2026</v>
      </c>
      <c r="C25" s="4" t="str">
        <f>+YLV!B23</f>
        <v>SERIE: PAYZEN- POS VIRTUAL -  VAUCHER N° 7201911 -  OP: 000573</v>
      </c>
      <c r="D25" s="13">
        <f>+YLV!M23</f>
        <v>400</v>
      </c>
      <c r="E25" s="11"/>
      <c r="F25" s="4" t="str">
        <f>+YLV!C23</f>
        <v>005042111</v>
      </c>
      <c r="G25" s="14" t="str">
        <f>+YLV!A23</f>
        <v>2111-000573</v>
      </c>
      <c r="H25" s="4" t="str">
        <f>+YLV!H23</f>
        <v>14:38:18</v>
      </c>
      <c r="I25" s="4">
        <f>+YLV!R23</f>
        <v>0</v>
      </c>
      <c r="J25" s="11"/>
      <c r="K25" s="4" t="str">
        <f t="shared" si="0"/>
        <v>2111-000573</v>
      </c>
      <c r="L25" s="4" t="str">
        <f t="shared" si="1"/>
        <v>2111-000573 -SERIE: PAYZEN- POS VIRTUAL -  VAUCHER N° 7201911 -  OP: 000573</v>
      </c>
      <c r="M25" s="5"/>
    </row>
    <row r="26" spans="2:13" x14ac:dyDescent="0.25">
      <c r="B26" s="12" t="str">
        <f>+YLV!G24</f>
        <v>07/01/2026</v>
      </c>
      <c r="C26" s="4" t="str">
        <f>+YLV!B24</f>
        <v>SERIE: PAYZEN- POS VIRTUAL -  VAUCHER N° 8292662 -  OP: 039895</v>
      </c>
      <c r="D26" s="13">
        <f>+YLV!M24</f>
        <v>203</v>
      </c>
      <c r="E26" s="11"/>
      <c r="F26" s="4" t="str">
        <f>+YLV!C24</f>
        <v>005042111</v>
      </c>
      <c r="G26" s="14" t="str">
        <f>+YLV!A24</f>
        <v>2111-039895</v>
      </c>
      <c r="H26" s="4" t="str">
        <f>+YLV!H24</f>
        <v>18:34:17</v>
      </c>
      <c r="I26" s="4">
        <f>+YLV!R24</f>
        <v>0</v>
      </c>
      <c r="J26" s="11"/>
      <c r="K26" s="4" t="str">
        <f t="shared" si="0"/>
        <v>2111-039895</v>
      </c>
      <c r="L26" s="4" t="str">
        <f t="shared" si="1"/>
        <v>2111-039895 -SERIE: PAYZEN- POS VIRTUAL -  VAUCHER N° 8292662 -  OP: 039895</v>
      </c>
      <c r="M26" s="5"/>
    </row>
    <row r="27" spans="2:13" x14ac:dyDescent="0.25">
      <c r="B27" s="12" t="str">
        <f>+YLV!G25</f>
        <v>08/01/2026</v>
      </c>
      <c r="C27" s="4" t="str">
        <f>+YLV!B25</f>
        <v>SERIE: MPP001LL3- POS QR -  VAUCHER N° 1037527 -  OP: 082804</v>
      </c>
      <c r="D27" s="13">
        <f>+YLV!M25</f>
        <v>380</v>
      </c>
      <c r="E27" s="11"/>
      <c r="F27" s="4" t="str">
        <f>+YLV!C25</f>
        <v>005042111</v>
      </c>
      <c r="G27" s="14" t="str">
        <f>+YLV!A25</f>
        <v>2111-082804</v>
      </c>
      <c r="H27" s="4" t="str">
        <f>+YLV!H25</f>
        <v>11:59:54</v>
      </c>
      <c r="I27" s="4" t="str">
        <f>+YLV!R25</f>
        <v>0798</v>
      </c>
      <c r="J27" s="11"/>
      <c r="K27" s="4" t="str">
        <f t="shared" si="0"/>
        <v>2111-082804</v>
      </c>
      <c r="L27" s="4" t="str">
        <f t="shared" si="1"/>
        <v>2111-082804 -SERIE: MPP001LL3- POS QR -  VAUCHER N° 1037527 -  OP: 082804</v>
      </c>
      <c r="M27" s="5"/>
    </row>
    <row r="28" spans="2:13" x14ac:dyDescent="0.25">
      <c r="B28" s="12" t="str">
        <f>+YLV!G26</f>
        <v>08/01/2026</v>
      </c>
      <c r="C28" s="4" t="str">
        <f>+YLV!B26</f>
        <v>SERIE: MPP001LL3- POS QR -  VAUCHER N° 5011460 -  OP: 152000</v>
      </c>
      <c r="D28" s="13">
        <f>+YLV!M26</f>
        <v>45</v>
      </c>
      <c r="E28" s="11"/>
      <c r="F28" s="4" t="str">
        <f>+YLV!C26</f>
        <v>005042111</v>
      </c>
      <c r="G28" s="14" t="str">
        <f>+YLV!A26</f>
        <v>2111-152000</v>
      </c>
      <c r="H28" s="4" t="str">
        <f>+YLV!H26</f>
        <v>15:18:37</v>
      </c>
      <c r="I28" s="4" t="str">
        <f>+YLV!R26</f>
        <v>0798</v>
      </c>
      <c r="J28" s="11"/>
      <c r="K28" s="4" t="str">
        <f t="shared" si="0"/>
        <v>2111-152000</v>
      </c>
      <c r="L28" s="4" t="str">
        <f t="shared" si="1"/>
        <v>2111-152000 -SERIE: MPP001LL3- POS QR -  VAUCHER N° 5011460 -  OP: 152000</v>
      </c>
      <c r="M28" s="5"/>
    </row>
    <row r="29" spans="2:13" x14ac:dyDescent="0.25">
      <c r="B29" s="12" t="str">
        <f>+YLV!G27</f>
        <v>08/01/2026</v>
      </c>
      <c r="C29" s="4" t="str">
        <f>+YLV!B27</f>
        <v>SERIE: MPP001LL3- POS QR -  VAUCHER N° 7024337 -  OP: 195673</v>
      </c>
      <c r="D29" s="13">
        <f>+YLV!M27</f>
        <v>204</v>
      </c>
      <c r="E29" s="11"/>
      <c r="F29" s="4" t="str">
        <f>+YLV!C27</f>
        <v>005042111</v>
      </c>
      <c r="G29" s="14" t="str">
        <f>+YLV!A27</f>
        <v>2111-195673</v>
      </c>
      <c r="H29" s="4" t="str">
        <f>+YLV!H27</f>
        <v>17:33:05</v>
      </c>
      <c r="I29" s="4" t="str">
        <f>+YLV!R27</f>
        <v>0798</v>
      </c>
      <c r="J29" s="11"/>
      <c r="K29" s="4" t="str">
        <f t="shared" si="0"/>
        <v>2111-195673</v>
      </c>
      <c r="L29" s="4" t="str">
        <f t="shared" si="1"/>
        <v>2111-195673 -SERIE: MPP001LL3- POS QR -  VAUCHER N° 7024337 -  OP: 195673</v>
      </c>
      <c r="M29" s="5"/>
    </row>
    <row r="30" spans="2:13" x14ac:dyDescent="0.25">
      <c r="B30" s="12" t="str">
        <f>+YLV!G28</f>
        <v>08/01/2026</v>
      </c>
      <c r="C30" s="4" t="str">
        <f>+YLV!B28</f>
        <v>SERIE: MPP001LL3- POS QR -  VAUCHER N° 3003280 -  OP: 104924</v>
      </c>
      <c r="D30" s="13">
        <f>+YLV!M28</f>
        <v>180</v>
      </c>
      <c r="E30" s="11"/>
      <c r="F30" s="4" t="str">
        <f>+YLV!C28</f>
        <v>005042111</v>
      </c>
      <c r="G30" s="14" t="str">
        <f>+YLV!A28</f>
        <v>2111-104924</v>
      </c>
      <c r="H30" s="4" t="str">
        <f>+YLV!H28</f>
        <v>13:04:23</v>
      </c>
      <c r="I30" s="4" t="str">
        <f>+YLV!R28</f>
        <v>0798</v>
      </c>
      <c r="J30" s="11"/>
      <c r="K30" s="4" t="str">
        <f t="shared" si="0"/>
        <v>2111-104924</v>
      </c>
      <c r="L30" s="4" t="str">
        <f t="shared" si="1"/>
        <v>2111-104924 -SERIE: MPP001LL3- POS QR -  VAUCHER N° 3003280 -  OP: 104924</v>
      </c>
      <c r="M30" s="5"/>
    </row>
    <row r="31" spans="2:13" x14ac:dyDescent="0.25">
      <c r="B31" s="12" t="str">
        <f>+YLV!G29</f>
        <v>08/01/2026</v>
      </c>
      <c r="C31" s="4" t="str">
        <f>+YLV!B29</f>
        <v>SERIE: MPP001LL3- POS QR -  VAUCHER N° 6013517 -  OP: 171099</v>
      </c>
      <c r="D31" s="13">
        <f>+YLV!M29</f>
        <v>270</v>
      </c>
      <c r="E31" s="11"/>
      <c r="F31" s="4" t="str">
        <f>+YLV!C29</f>
        <v>005042111</v>
      </c>
      <c r="G31" s="14" t="str">
        <f>+YLV!A29</f>
        <v>2111-171099</v>
      </c>
      <c r="H31" s="4" t="str">
        <f>+YLV!H29</f>
        <v>16:21:12</v>
      </c>
      <c r="I31" s="4" t="str">
        <f>+YLV!R29</f>
        <v>0798</v>
      </c>
      <c r="J31" s="11"/>
      <c r="K31" s="4" t="str">
        <f t="shared" si="0"/>
        <v>2111-171099</v>
      </c>
      <c r="L31" s="4" t="str">
        <f t="shared" si="1"/>
        <v>2111-171099 -SERIE: MPP001LL3- POS QR -  VAUCHER N° 6013517 -  OP: 171099</v>
      </c>
      <c r="M31" s="5"/>
    </row>
    <row r="32" spans="2:13" x14ac:dyDescent="0.25">
      <c r="B32" s="12" t="str">
        <f>+YLV!G30</f>
        <v>08/01/2026</v>
      </c>
      <c r="C32" s="4" t="str">
        <f>+YLV!B30</f>
        <v>SERIE: PAYZEN- POS VIRTUAL -  VAUCHER N° 8198880 -  OP: 760557</v>
      </c>
      <c r="D32" s="13">
        <f>+YLV!M30</f>
        <v>198</v>
      </c>
      <c r="E32" s="11"/>
      <c r="F32" s="4" t="str">
        <f>+YLV!C30</f>
        <v>005042111</v>
      </c>
      <c r="G32" s="14" t="str">
        <f>+YLV!A30</f>
        <v>2111-760557</v>
      </c>
      <c r="H32" s="4" t="str">
        <f>+YLV!H30</f>
        <v>13:10:31</v>
      </c>
      <c r="I32" s="4">
        <f>+YLV!R30</f>
        <v>0</v>
      </c>
      <c r="J32" s="11"/>
      <c r="K32" s="4" t="str">
        <f t="shared" si="0"/>
        <v>2111-760557</v>
      </c>
      <c r="L32" s="4" t="str">
        <f t="shared" si="1"/>
        <v>2111-760557 -SERIE: PAYZEN- POS VIRTUAL -  VAUCHER N° 8198880 -  OP: 760557</v>
      </c>
      <c r="M32" s="5"/>
    </row>
    <row r="33" spans="2:13" x14ac:dyDescent="0.25">
      <c r="B33" s="12" t="str">
        <f>+YLV!G31</f>
        <v>08/01/2026</v>
      </c>
      <c r="C33" s="4" t="str">
        <f>+YLV!B31</f>
        <v>SERIE: PAYZEN- POS VIRTUAL -  VAUCHER N° 8990031 -  OP: 233965</v>
      </c>
      <c r="D33" s="13">
        <f>+YLV!M31</f>
        <v>608</v>
      </c>
      <c r="E33" s="11"/>
      <c r="F33" s="4" t="str">
        <f>+YLV!C31</f>
        <v>005042111</v>
      </c>
      <c r="G33" s="14" t="str">
        <f>+YLV!A31</f>
        <v>2111-233965</v>
      </c>
      <c r="H33" s="4" t="str">
        <f>+YLV!H31</f>
        <v>13:49:15</v>
      </c>
      <c r="I33" s="4">
        <f>+YLV!R31</f>
        <v>0</v>
      </c>
      <c r="J33" s="11"/>
      <c r="K33" s="4" t="str">
        <f t="shared" si="0"/>
        <v>2111-233965</v>
      </c>
      <c r="L33" s="4" t="str">
        <f t="shared" si="1"/>
        <v>2111-233965 -SERIE: PAYZEN- POS VIRTUAL -  VAUCHER N° 8990031 -  OP: 233965</v>
      </c>
      <c r="M33" s="5"/>
    </row>
    <row r="34" spans="2:13" x14ac:dyDescent="0.25">
      <c r="B34" s="12" t="str">
        <f>+YLV!G32</f>
        <v>08/01/2026</v>
      </c>
      <c r="C34" s="4" t="str">
        <f>+YLV!B32</f>
        <v>SERIE: CD8S9119- POS CONTACTLESS CHIP -  VAUCHER N° 0005512 -  OP: 007371</v>
      </c>
      <c r="D34" s="13">
        <f>+YLV!M32</f>
        <v>440</v>
      </c>
      <c r="E34" s="11"/>
      <c r="F34" s="4" t="str">
        <f>+YLV!C32</f>
        <v>005042111</v>
      </c>
      <c r="G34" s="14" t="str">
        <f>+YLV!A32</f>
        <v>2111-007371</v>
      </c>
      <c r="H34" s="4" t="str">
        <f>+YLV!H32</f>
        <v>18:39:44</v>
      </c>
      <c r="I34" s="4" t="str">
        <f>+YLV!R32</f>
        <v>0798</v>
      </c>
      <c r="J34" s="11"/>
      <c r="K34" s="4" t="str">
        <f t="shared" si="0"/>
        <v>2111-007371</v>
      </c>
      <c r="L34" s="4" t="str">
        <f t="shared" si="1"/>
        <v>2111-007371 -SERIE: CD8S9119- POS CONTACTLESS CHIP -  VAUCHER N° 0005512 -  OP: 007371</v>
      </c>
      <c r="M34" s="5"/>
    </row>
    <row r="35" spans="2:13" x14ac:dyDescent="0.25">
      <c r="B35" s="12" t="str">
        <f>+YLV!G33</f>
        <v>09/01/2026</v>
      </c>
      <c r="C35" s="4" t="str">
        <f>+YLV!B33</f>
        <v>SERIE: MPP001LL3- POS QR -  VAUCHER N° 5034052 -  OP: 165942</v>
      </c>
      <c r="D35" s="13">
        <f>+YLV!M33</f>
        <v>135</v>
      </c>
      <c r="E35" s="11"/>
      <c r="F35" s="4" t="str">
        <f>+YLV!C33</f>
        <v>005042111</v>
      </c>
      <c r="G35" s="14" t="str">
        <f>+YLV!A33</f>
        <v>2111-165942</v>
      </c>
      <c r="H35" s="4" t="str">
        <f>+YLV!H33</f>
        <v>15:52:19</v>
      </c>
      <c r="I35" s="4" t="str">
        <f>+YLV!R33</f>
        <v>0799</v>
      </c>
      <c r="J35" s="11"/>
      <c r="K35" s="4" t="str">
        <f t="shared" si="0"/>
        <v>2111-165942</v>
      </c>
      <c r="L35" s="4" t="str">
        <f t="shared" si="1"/>
        <v>2111-165942 -SERIE: MPP001LL3- POS QR -  VAUCHER N° 5034052 -  OP: 165942</v>
      </c>
      <c r="M35" s="5"/>
    </row>
    <row r="36" spans="2:13" x14ac:dyDescent="0.25">
      <c r="B36" s="12" t="str">
        <f>+YLV!G34</f>
        <v>09/01/2026</v>
      </c>
      <c r="C36" s="4" t="str">
        <f>+YLV!B34</f>
        <v>SERIE: MPP001LL3- POS QR -  VAUCHER N° 7006588 -  OP: 191801</v>
      </c>
      <c r="D36" s="13">
        <f>+YLV!M34</f>
        <v>243</v>
      </c>
      <c r="E36" s="11"/>
      <c r="F36" s="4" t="str">
        <f>+YLV!C34</f>
        <v>005042111</v>
      </c>
      <c r="G36" s="14" t="str">
        <f>+YLV!A34</f>
        <v>2111-191801</v>
      </c>
      <c r="H36" s="4" t="str">
        <f>+YLV!H34</f>
        <v>17:08:43</v>
      </c>
      <c r="I36" s="4" t="str">
        <f>+YLV!R34</f>
        <v>0799</v>
      </c>
      <c r="J36" s="11"/>
      <c r="K36" s="4" t="str">
        <f t="shared" si="0"/>
        <v>2111-191801</v>
      </c>
      <c r="L36" s="4" t="str">
        <f t="shared" si="1"/>
        <v>2111-191801 -SERIE: MPP001LL3- POS QR -  VAUCHER N° 7006588 -  OP: 191801</v>
      </c>
      <c r="M36" s="5"/>
    </row>
    <row r="37" spans="2:13" x14ac:dyDescent="0.25">
      <c r="B37" s="12" t="str">
        <f>+YLV!G35</f>
        <v>09/01/2026</v>
      </c>
      <c r="C37" s="4" t="str">
        <f>+YLV!B35</f>
        <v>SERIE: MPP001LL3- POS QR -  VAUCHER N° 1024888 -  OP: 078904</v>
      </c>
      <c r="D37" s="13">
        <f>+YLV!M35</f>
        <v>180</v>
      </c>
      <c r="E37" s="11"/>
      <c r="F37" s="4" t="str">
        <f>+YLV!C35</f>
        <v>005042111</v>
      </c>
      <c r="G37" s="14" t="str">
        <f>+YLV!A35</f>
        <v>2111-078904</v>
      </c>
      <c r="H37" s="4" t="str">
        <f>+YLV!H35</f>
        <v>11:39:27</v>
      </c>
      <c r="I37" s="4" t="str">
        <f>+YLV!R35</f>
        <v>0799</v>
      </c>
      <c r="J37" s="11"/>
      <c r="K37" s="4" t="str">
        <f t="shared" si="0"/>
        <v>2111-078904</v>
      </c>
      <c r="L37" s="4" t="str">
        <f t="shared" si="1"/>
        <v>2111-078904 -SERIE: MPP001LL3- POS QR -  VAUCHER N° 1024888 -  OP: 078904</v>
      </c>
      <c r="M37" s="5"/>
    </row>
    <row r="38" spans="2:13" x14ac:dyDescent="0.25">
      <c r="B38" s="12" t="str">
        <f>+YLV!G36</f>
        <v>09/01/2026</v>
      </c>
      <c r="C38" s="4" t="str">
        <f>+YLV!B36</f>
        <v>SERIE: MPP001LL3- POS QR -  VAUCHER N° 5008875 -  OP: 153658</v>
      </c>
      <c r="D38" s="13">
        <f>+YLV!M36</f>
        <v>60</v>
      </c>
      <c r="E38" s="11"/>
      <c r="F38" s="4" t="str">
        <f>+YLV!C36</f>
        <v>005042111</v>
      </c>
      <c r="G38" s="14" t="str">
        <f>+YLV!A36</f>
        <v>2111-153658</v>
      </c>
      <c r="H38" s="4" t="str">
        <f>+YLV!H36</f>
        <v>15:13:20</v>
      </c>
      <c r="I38" s="4" t="str">
        <f>+YLV!R36</f>
        <v>0799</v>
      </c>
      <c r="J38" s="11"/>
      <c r="K38" s="4" t="str">
        <f t="shared" si="0"/>
        <v>2111-153658</v>
      </c>
      <c r="L38" s="4" t="str">
        <f t="shared" si="1"/>
        <v>2111-153658 -SERIE: MPP001LL3- POS QR -  VAUCHER N° 5008875 -  OP: 153658</v>
      </c>
      <c r="M38" s="5"/>
    </row>
    <row r="39" spans="2:13" x14ac:dyDescent="0.25">
      <c r="B39" s="12" t="str">
        <f>+YLV!G37</f>
        <v>09/01/2026</v>
      </c>
      <c r="C39" s="4" t="str">
        <f>+YLV!B37</f>
        <v>SERIE: CD8S9119- POS CONTACTLESS CHIP -  VAUCHER N° 0005531 -  OP: 512806</v>
      </c>
      <c r="D39" s="13">
        <f>+YLV!M37</f>
        <v>280</v>
      </c>
      <c r="E39" s="11"/>
      <c r="F39" s="4" t="str">
        <f>+YLV!C37</f>
        <v>005042111</v>
      </c>
      <c r="G39" s="14" t="str">
        <f>+YLV!A37</f>
        <v>2111-512806</v>
      </c>
      <c r="H39" s="4" t="str">
        <f>+YLV!H37</f>
        <v>16:08:10</v>
      </c>
      <c r="I39" s="4" t="str">
        <f>+YLV!R37</f>
        <v>0799</v>
      </c>
      <c r="J39" s="11"/>
      <c r="K39" s="4" t="str">
        <f t="shared" si="0"/>
        <v>2111-512806</v>
      </c>
      <c r="L39" s="4" t="str">
        <f t="shared" si="1"/>
        <v>2111-512806 -SERIE: CD8S9119- POS CONTACTLESS CHIP -  VAUCHER N° 0005531 -  OP: 512806</v>
      </c>
      <c r="M39" s="5"/>
    </row>
    <row r="40" spans="2:13" x14ac:dyDescent="0.25">
      <c r="B40" s="12" t="str">
        <f>+YLV!G38</f>
        <v>12/01/2026</v>
      </c>
      <c r="C40" s="4" t="str">
        <f>+YLV!B38</f>
        <v>SERIE: CD8S9119- POS CONTACTLESS CHIP -  VAUCHER N° 0005563 -  OP: 304602</v>
      </c>
      <c r="D40" s="13">
        <f>+YLV!M38</f>
        <v>142.5</v>
      </c>
      <c r="E40" s="11"/>
      <c r="F40" s="4" t="str">
        <f>+YLV!C38</f>
        <v>005042111</v>
      </c>
      <c r="G40" s="14" t="str">
        <f>+YLV!A38</f>
        <v>2111-304602</v>
      </c>
      <c r="H40" s="4" t="str">
        <f>+YLV!H38</f>
        <v>18:07:31</v>
      </c>
      <c r="I40" s="4" t="str">
        <f>+YLV!R38</f>
        <v>0800</v>
      </c>
      <c r="J40" s="11"/>
      <c r="K40" s="4" t="str">
        <f t="shared" si="0"/>
        <v>2111-304602</v>
      </c>
      <c r="L40" s="4" t="str">
        <f t="shared" si="1"/>
        <v>2111-304602 -SERIE: CD8S9119- POS CONTACTLESS CHIP -  VAUCHER N° 0005563 -  OP: 304602</v>
      </c>
      <c r="M40" s="5"/>
    </row>
    <row r="41" spans="2:13" x14ac:dyDescent="0.25">
      <c r="B41" s="12" t="str">
        <f>+YLV!G39</f>
        <v>12/01/2026</v>
      </c>
      <c r="C41" s="4" t="str">
        <f>+YLV!B39</f>
        <v>SERIE: CD8S9119- POS CONTACTLESS CHIP -  VAUCHER N° 0005558 -  OP: 380783</v>
      </c>
      <c r="D41" s="13">
        <f>+YLV!M39</f>
        <v>50</v>
      </c>
      <c r="E41" s="11"/>
      <c r="F41" s="4" t="str">
        <f>+YLV!C39</f>
        <v>005042111</v>
      </c>
      <c r="G41" s="14" t="str">
        <f>+YLV!A39</f>
        <v>2111-380783</v>
      </c>
      <c r="H41" s="4" t="str">
        <f>+YLV!H39</f>
        <v>17:40:39</v>
      </c>
      <c r="I41" s="4" t="str">
        <f>+YLV!R39</f>
        <v>0800</v>
      </c>
      <c r="J41" s="11"/>
      <c r="K41" s="4" t="str">
        <f t="shared" si="0"/>
        <v>2111-380783</v>
      </c>
      <c r="L41" s="4" t="str">
        <f t="shared" si="1"/>
        <v>2111-380783 -SERIE: CD8S9119- POS CONTACTLESS CHIP -  VAUCHER N° 0005558 -  OP: 380783</v>
      </c>
      <c r="M41" s="5"/>
    </row>
    <row r="42" spans="2:13" x14ac:dyDescent="0.25">
      <c r="B42" s="12" t="str">
        <f>+YLV!G40</f>
        <v>12/01/2026</v>
      </c>
      <c r="C42" s="4" t="str">
        <f>+YLV!B40</f>
        <v>SERIE: CD8S9119- POS CONTACTLESS CHIP -  VAUCHER N° 0005549 -  OP: 292661</v>
      </c>
      <c r="D42" s="13">
        <f>+YLV!M40</f>
        <v>40</v>
      </c>
      <c r="E42" s="11"/>
      <c r="F42" s="4" t="str">
        <f>+YLV!C40</f>
        <v>005042111</v>
      </c>
      <c r="G42" s="14" t="str">
        <f>+YLV!A40</f>
        <v>2111-292661</v>
      </c>
      <c r="H42" s="4" t="str">
        <f>+YLV!H40</f>
        <v>12:18:55</v>
      </c>
      <c r="I42" s="4" t="str">
        <f>+YLV!R40</f>
        <v>0800</v>
      </c>
      <c r="J42" s="11"/>
      <c r="K42" s="4" t="str">
        <f t="shared" si="0"/>
        <v>2111-292661</v>
      </c>
      <c r="L42" s="4" t="str">
        <f t="shared" si="1"/>
        <v>2111-292661 -SERIE: CD8S9119- POS CONTACTLESS CHIP -  VAUCHER N° 0005549 -  OP: 292661</v>
      </c>
      <c r="M42" s="5"/>
    </row>
    <row r="43" spans="2:13" x14ac:dyDescent="0.25">
      <c r="B43" s="12" t="str">
        <f>+YLV!G41</f>
        <v>12/01/2026</v>
      </c>
      <c r="C43" s="4" t="str">
        <f>+YLV!B41</f>
        <v>SERIE: MPP001LL3- POS QR -  VAUCHER N° 3002007 -  OP: 135045</v>
      </c>
      <c r="D43" s="13">
        <f>+YLV!M41</f>
        <v>300</v>
      </c>
      <c r="E43" s="11"/>
      <c r="F43" s="4" t="str">
        <f>+YLV!C41</f>
        <v>005042111</v>
      </c>
      <c r="G43" s="14" t="str">
        <f>+YLV!A41</f>
        <v>2111-135045</v>
      </c>
      <c r="H43" s="4" t="str">
        <f>+YLV!H41</f>
        <v>13:02:01</v>
      </c>
      <c r="I43" s="4" t="str">
        <f>+YLV!R41</f>
        <v>0800</v>
      </c>
      <c r="J43" s="11"/>
      <c r="K43" s="4" t="str">
        <f t="shared" si="0"/>
        <v>2111-135045</v>
      </c>
      <c r="L43" s="4" t="str">
        <f t="shared" si="1"/>
        <v>2111-135045 -SERIE: MPP001LL3- POS QR -  VAUCHER N° 3002007 -  OP: 135045</v>
      </c>
      <c r="M43" s="5"/>
    </row>
    <row r="44" spans="2:13" x14ac:dyDescent="0.25">
      <c r="B44" s="12" t="str">
        <f>+YLV!G42</f>
        <v>12/01/2026</v>
      </c>
      <c r="C44" s="4" t="str">
        <f>+YLV!B42</f>
        <v>SERIE: MPP001LL3- POS QR -  VAUCHER N° 7041965 -  OP: 255438</v>
      </c>
      <c r="D44" s="13">
        <f>+YLV!M42</f>
        <v>93</v>
      </c>
      <c r="E44" s="11"/>
      <c r="F44" s="4" t="str">
        <f>+YLV!C42</f>
        <v>005042111</v>
      </c>
      <c r="G44" s="14" t="str">
        <f>+YLV!A42</f>
        <v>2111-255438</v>
      </c>
      <c r="H44" s="4" t="str">
        <f>+YLV!H42</f>
        <v>17:44:15</v>
      </c>
      <c r="I44" s="4" t="str">
        <f>+YLV!R42</f>
        <v>0800</v>
      </c>
      <c r="J44" s="11"/>
      <c r="K44" s="4" t="str">
        <f t="shared" si="0"/>
        <v>2111-255438</v>
      </c>
      <c r="L44" s="4" t="str">
        <f t="shared" si="1"/>
        <v>2111-255438 -SERIE: MPP001LL3- POS QR -  VAUCHER N° 7041965 -  OP: 255438</v>
      </c>
      <c r="M44" s="5"/>
    </row>
    <row r="45" spans="2:13" x14ac:dyDescent="0.25">
      <c r="B45" s="12" t="str">
        <f>+YLV!G43</f>
        <v>12/01/2026</v>
      </c>
      <c r="C45" s="4" t="str">
        <f>+YLV!B43</f>
        <v>SERIE: MPP001LL3- POS QR -  VAUCHER N° 4046280 -  OP: 185185</v>
      </c>
      <c r="D45" s="13">
        <f>+YLV!M43</f>
        <v>70</v>
      </c>
      <c r="E45" s="11"/>
      <c r="F45" s="4" t="str">
        <f>+YLV!C43</f>
        <v>005042111</v>
      </c>
      <c r="G45" s="14" t="str">
        <f>+YLV!A43</f>
        <v>2111-185185</v>
      </c>
      <c r="H45" s="4" t="str">
        <f>+YLV!H43</f>
        <v>14:53:14</v>
      </c>
      <c r="I45" s="4" t="str">
        <f>+YLV!R43</f>
        <v>0800</v>
      </c>
      <c r="J45" s="11"/>
      <c r="K45" s="4" t="str">
        <f t="shared" si="0"/>
        <v>2111-185185</v>
      </c>
      <c r="L45" s="4" t="str">
        <f t="shared" si="1"/>
        <v>2111-185185 -SERIE: MPP001LL3- POS QR -  VAUCHER N° 4046280 -  OP: 185185</v>
      </c>
      <c r="M45" s="5"/>
    </row>
    <row r="46" spans="2:13" x14ac:dyDescent="0.25">
      <c r="B46" s="12" t="str">
        <f>+YLV!G44</f>
        <v>12/01/2026</v>
      </c>
      <c r="C46" s="4" t="str">
        <f>+YLV!B44</f>
        <v>SERIE: PAYZEN- POS VIRTUAL -  VAUCHER N° 2473607 -  OP: 074812</v>
      </c>
      <c r="D46" s="13">
        <f>+YLV!M44</f>
        <v>124.1</v>
      </c>
      <c r="E46" s="11"/>
      <c r="F46" s="4" t="str">
        <f>+YLV!C44</f>
        <v>005042111</v>
      </c>
      <c r="G46" s="14" t="str">
        <f>+YLV!A44</f>
        <v>2111-074812</v>
      </c>
      <c r="H46" s="4" t="str">
        <f>+YLV!H44</f>
        <v>13:26:25</v>
      </c>
      <c r="I46" s="4">
        <f>+YLV!R44</f>
        <v>0</v>
      </c>
      <c r="J46" s="11"/>
      <c r="K46" s="4" t="str">
        <f t="shared" si="0"/>
        <v>2111-074812</v>
      </c>
      <c r="L46" s="4" t="str">
        <f t="shared" si="1"/>
        <v>2111-074812 -SERIE: PAYZEN- POS VIRTUAL -  VAUCHER N° 2473607 -  OP: 074812</v>
      </c>
      <c r="M46" s="5"/>
    </row>
    <row r="47" spans="2:13" x14ac:dyDescent="0.25">
      <c r="B47" s="12" t="str">
        <f>+YLV!G45</f>
        <v>13/01/2026</v>
      </c>
      <c r="C47" s="4" t="str">
        <f>+YLV!B45</f>
        <v>SERIE: CD8S9119- POS CONTACTLESS CHIP -  VAUCHER N° 0005576 -  OP: 131887</v>
      </c>
      <c r="D47" s="13">
        <f>+YLV!M45</f>
        <v>250</v>
      </c>
      <c r="E47" s="11"/>
      <c r="F47" s="4" t="str">
        <f>+YLV!C45</f>
        <v>005042111</v>
      </c>
      <c r="G47" s="14" t="str">
        <f>+YLV!A45</f>
        <v>2111-131887</v>
      </c>
      <c r="H47" s="4" t="str">
        <f>+YLV!H45</f>
        <v>16:48:42</v>
      </c>
      <c r="I47" s="4" t="str">
        <f>+YLV!R45</f>
        <v>0801</v>
      </c>
      <c r="J47" s="11"/>
      <c r="K47" s="4" t="str">
        <f t="shared" si="0"/>
        <v>2111-131887</v>
      </c>
      <c r="L47" s="4" t="str">
        <f t="shared" si="1"/>
        <v>2111-131887 -SERIE: CD8S9119- POS CONTACTLESS CHIP -  VAUCHER N° 0005576 -  OP: 131887</v>
      </c>
      <c r="M47" s="5"/>
    </row>
    <row r="48" spans="2:13" x14ac:dyDescent="0.25">
      <c r="B48" s="12" t="str">
        <f>+YLV!G46</f>
        <v>13/01/2026</v>
      </c>
      <c r="C48" s="4" t="str">
        <f>+YLV!B46</f>
        <v>SERIE: MPP001LL3- POS QR -  VAUCHER N° 7004236 -  OP: 218287</v>
      </c>
      <c r="D48" s="13">
        <f>+YLV!M46</f>
        <v>70</v>
      </c>
      <c r="E48" s="11"/>
      <c r="F48" s="4" t="str">
        <f>+YLV!C46</f>
        <v>005042111</v>
      </c>
      <c r="G48" s="14" t="str">
        <f>+YLV!A46</f>
        <v>2111-218287</v>
      </c>
      <c r="H48" s="4" t="str">
        <f>+YLV!H46</f>
        <v>17:05:06</v>
      </c>
      <c r="I48" s="4" t="str">
        <f>+YLV!R46</f>
        <v>0801</v>
      </c>
      <c r="J48" s="11"/>
      <c r="K48" s="4" t="str">
        <f t="shared" si="0"/>
        <v>2111-218287</v>
      </c>
      <c r="L48" s="4" t="str">
        <f t="shared" si="1"/>
        <v>2111-218287 -SERIE: MPP001LL3- POS QR -  VAUCHER N° 7004236 -  OP: 218287</v>
      </c>
      <c r="M48" s="5"/>
    </row>
    <row r="49" spans="2:13" x14ac:dyDescent="0.25">
      <c r="B49" s="12" t="str">
        <f>+YLV!G47</f>
        <v>13/01/2026</v>
      </c>
      <c r="C49" s="4" t="str">
        <f>+YLV!B47</f>
        <v>SERIE: MPP001LL3- POS QR -  VAUCHER N° 6042691 -  OP: 213663</v>
      </c>
      <c r="D49" s="13">
        <f>+YLV!M47</f>
        <v>120</v>
      </c>
      <c r="E49" s="11"/>
      <c r="F49" s="4" t="str">
        <f>+YLV!C47</f>
        <v>005042111</v>
      </c>
      <c r="G49" s="14" t="str">
        <f>+YLV!A47</f>
        <v>2111-213663</v>
      </c>
      <c r="H49" s="4" t="str">
        <f>+YLV!H47</f>
        <v>16:53:49</v>
      </c>
      <c r="I49" s="4" t="str">
        <f>+YLV!R47</f>
        <v>0801</v>
      </c>
      <c r="J49" s="11"/>
      <c r="K49" s="4" t="str">
        <f t="shared" si="0"/>
        <v>2111-213663</v>
      </c>
      <c r="L49" s="4" t="str">
        <f t="shared" si="1"/>
        <v>2111-213663 -SERIE: MPP001LL3- POS QR -  VAUCHER N° 6042691 -  OP: 213663</v>
      </c>
      <c r="M49" s="5"/>
    </row>
    <row r="50" spans="2:13" x14ac:dyDescent="0.25">
      <c r="B50" s="12" t="str">
        <f>+YLV!G48</f>
        <v>13/01/2026</v>
      </c>
      <c r="C50" s="4" t="str">
        <f>+YLV!B48</f>
        <v>SERIE: PAYZEN- E-COMMERCE -  VAUCHER N° 3774483 -  OP: 177944</v>
      </c>
      <c r="D50" s="13">
        <f>+YLV!M48</f>
        <v>193</v>
      </c>
      <c r="E50" s="11"/>
      <c r="F50" s="4" t="str">
        <f>+YLV!C48</f>
        <v>005042111</v>
      </c>
      <c r="G50" s="14" t="str">
        <f>+YLV!A48</f>
        <v>2111-177944</v>
      </c>
      <c r="H50" s="4" t="str">
        <f>+YLV!H48</f>
        <v>11:22:01</v>
      </c>
      <c r="I50" s="4">
        <f>+YLV!R48</f>
        <v>0</v>
      </c>
      <c r="J50" s="11"/>
      <c r="K50" s="4" t="str">
        <f t="shared" si="0"/>
        <v>2111-177944</v>
      </c>
      <c r="L50" s="4" t="str">
        <f t="shared" si="1"/>
        <v>2111-177944 -SERIE: PAYZEN- E-COMMERCE -  VAUCHER N° 3774483 -  OP: 177944</v>
      </c>
      <c r="M50" s="5"/>
    </row>
    <row r="51" spans="2:13" x14ac:dyDescent="0.25">
      <c r="B51" s="12" t="str">
        <f>+YLV!G49</f>
        <v>14/01/2026</v>
      </c>
      <c r="C51" s="4" t="str">
        <f>+YLV!B49</f>
        <v>SERIE: MPP001LL3- POS QR -  VAUCHER N° 7023965 -  OP: 228715</v>
      </c>
      <c r="D51" s="13">
        <f>+YLV!M49</f>
        <v>20</v>
      </c>
      <c r="E51" s="11"/>
      <c r="F51" s="4" t="str">
        <f>+YLV!C49</f>
        <v>005042111</v>
      </c>
      <c r="G51" s="14" t="str">
        <f>+YLV!A49</f>
        <v>2111-228715</v>
      </c>
      <c r="H51" s="4" t="str">
        <f>+YLV!H49</f>
        <v>17:27:29</v>
      </c>
      <c r="I51" s="4" t="str">
        <f>+YLV!R49</f>
        <v>0802</v>
      </c>
      <c r="J51" s="11"/>
      <c r="K51" s="4" t="str">
        <f t="shared" si="0"/>
        <v>2111-228715</v>
      </c>
      <c r="L51" s="4" t="str">
        <f t="shared" si="1"/>
        <v>2111-228715 -SERIE: MPP001LL3- POS QR -  VAUCHER N° 7023965 -  OP: 228715</v>
      </c>
      <c r="M51" s="5"/>
    </row>
    <row r="52" spans="2:13" x14ac:dyDescent="0.25">
      <c r="B52" s="12" t="str">
        <f>+YLV!G50</f>
        <v>14/01/2026</v>
      </c>
      <c r="C52" s="4" t="str">
        <f>+YLV!B50</f>
        <v>SERIE: MPP001LL3- POS QR -  VAUCHER N° 1022044 -  OP: 087426</v>
      </c>
      <c r="D52" s="13">
        <f>+YLV!M50</f>
        <v>180</v>
      </c>
      <c r="E52" s="11"/>
      <c r="F52" s="4" t="str">
        <f>+YLV!C50</f>
        <v>005042111</v>
      </c>
      <c r="G52" s="14" t="str">
        <f>+YLV!A50</f>
        <v>2111-087426</v>
      </c>
      <c r="H52" s="4" t="str">
        <f>+YLV!H50</f>
        <v>11:29:56</v>
      </c>
      <c r="I52" s="4" t="str">
        <f>+YLV!R50</f>
        <v>0802</v>
      </c>
      <c r="J52" s="11"/>
      <c r="K52" s="4" t="str">
        <f t="shared" si="0"/>
        <v>2111-087426</v>
      </c>
      <c r="L52" s="4" t="str">
        <f t="shared" si="1"/>
        <v>2111-087426 -SERIE: MPP001LL3- POS QR -  VAUCHER N° 1022044 -  OP: 087426</v>
      </c>
      <c r="M52" s="5"/>
    </row>
    <row r="53" spans="2:13" x14ac:dyDescent="0.25">
      <c r="B53" s="12" t="str">
        <f>+YLV!G51</f>
        <v>14/01/2026</v>
      </c>
      <c r="C53" s="4" t="str">
        <f>+YLV!B51</f>
        <v>SERIE: MPP001LL3- POS QR -  VAUCHER N° 6044924 -  OP: 215753</v>
      </c>
      <c r="D53" s="13">
        <f>+YLV!M51</f>
        <v>125</v>
      </c>
      <c r="E53" s="11"/>
      <c r="F53" s="4" t="str">
        <f>+YLV!C51</f>
        <v>005042111</v>
      </c>
      <c r="G53" s="14" t="str">
        <f>+YLV!A51</f>
        <v>2111-215753</v>
      </c>
      <c r="H53" s="4" t="str">
        <f>+YLV!H51</f>
        <v>16:56:39</v>
      </c>
      <c r="I53" s="4" t="str">
        <f>+YLV!R51</f>
        <v>0802</v>
      </c>
      <c r="J53" s="11"/>
      <c r="K53" s="4" t="str">
        <f t="shared" si="0"/>
        <v>2111-215753</v>
      </c>
      <c r="L53" s="4" t="str">
        <f t="shared" si="1"/>
        <v>2111-215753 -SERIE: MPP001LL3- POS QR -  VAUCHER N° 6044924 -  OP: 215753</v>
      </c>
      <c r="M53" s="5"/>
    </row>
    <row r="54" spans="2:13" x14ac:dyDescent="0.25">
      <c r="B54" s="12" t="str">
        <f>+YLV!G52</f>
        <v>14/01/2026</v>
      </c>
      <c r="C54" s="4" t="str">
        <f>+YLV!B52</f>
        <v>SERIE: PAYZEN- POS VIRTUAL -  VAUCHER N° 4684539 -  OP: 008087</v>
      </c>
      <c r="D54" s="13">
        <f>+YLV!M52</f>
        <v>193</v>
      </c>
      <c r="E54" s="11"/>
      <c r="F54" s="4" t="str">
        <f>+YLV!C52</f>
        <v>005042111</v>
      </c>
      <c r="G54" s="14" t="str">
        <f>+YLV!A52</f>
        <v>2111-008087</v>
      </c>
      <c r="H54" s="4" t="str">
        <f>+YLV!H52</f>
        <v>16:49:50</v>
      </c>
      <c r="I54" s="4">
        <f>+YLV!R52</f>
        <v>0</v>
      </c>
      <c r="J54" s="11"/>
      <c r="K54" s="4" t="str">
        <f t="shared" si="0"/>
        <v>2111-008087</v>
      </c>
      <c r="L54" s="4" t="str">
        <f t="shared" si="1"/>
        <v>2111-008087 -SERIE: PAYZEN- POS VIRTUAL -  VAUCHER N° 4684539 -  OP: 008087</v>
      </c>
      <c r="M54" s="5"/>
    </row>
    <row r="55" spans="2:13" x14ac:dyDescent="0.25">
      <c r="B55" s="12" t="str">
        <f>+YLV!G53</f>
        <v>14/01/2026</v>
      </c>
      <c r="C55" s="4" t="str">
        <f>+YLV!B53</f>
        <v>SERIE: PAYZEN- POS VIRTUAL -  VAUCHER N° 5457261 -  OP: 035333</v>
      </c>
      <c r="D55" s="13">
        <f>+YLV!M53</f>
        <v>356</v>
      </c>
      <c r="E55" s="11"/>
      <c r="F55" s="4" t="str">
        <f>+YLV!C53</f>
        <v>005042111</v>
      </c>
      <c r="G55" s="14" t="str">
        <f>+YLV!A53</f>
        <v>2111-035333</v>
      </c>
      <c r="H55" s="4" t="str">
        <f>+YLV!H53</f>
        <v>18:22:54</v>
      </c>
      <c r="I55" s="4">
        <f>+YLV!R53</f>
        <v>0</v>
      </c>
      <c r="J55" s="11"/>
      <c r="K55" s="4" t="str">
        <f t="shared" si="0"/>
        <v>2111-035333</v>
      </c>
      <c r="L55" s="4" t="str">
        <f t="shared" si="1"/>
        <v>2111-035333 -SERIE: PAYZEN- POS VIRTUAL -  VAUCHER N° 5457261 -  OP: 035333</v>
      </c>
      <c r="M55" s="5"/>
    </row>
    <row r="56" spans="2:13" x14ac:dyDescent="0.25">
      <c r="B56" s="12" t="str">
        <f>+YLV!G54</f>
        <v>15/01/2026</v>
      </c>
      <c r="C56" s="4" t="str">
        <f>+YLV!B54</f>
        <v>SERIE: CD8S9119- POS CONTACTLESS CHIP -  VAUCHER N° 0005636 -  OP: 077725</v>
      </c>
      <c r="D56" s="13">
        <f>+YLV!M54</f>
        <v>90</v>
      </c>
      <c r="E56" s="11"/>
      <c r="F56" s="4" t="str">
        <f>+YLV!C54</f>
        <v>005042111</v>
      </c>
      <c r="G56" s="14" t="str">
        <f>+YLV!A54</f>
        <v>2111-077725</v>
      </c>
      <c r="H56" s="4" t="str">
        <f>+YLV!H54</f>
        <v>15:55:12</v>
      </c>
      <c r="I56" s="4" t="str">
        <f>+YLV!R54</f>
        <v>0803</v>
      </c>
      <c r="J56" s="11"/>
      <c r="K56" s="4" t="str">
        <f t="shared" si="0"/>
        <v>2111-077725</v>
      </c>
      <c r="L56" s="4" t="str">
        <f t="shared" si="1"/>
        <v>2111-077725 -SERIE: CD8S9119- POS CONTACTLESS CHIP -  VAUCHER N° 0005636 -  OP: 077725</v>
      </c>
      <c r="M56" s="5"/>
    </row>
    <row r="57" spans="2:13" x14ac:dyDescent="0.25">
      <c r="B57" s="12" t="str">
        <f>+YLV!G55</f>
        <v>15/01/2026</v>
      </c>
      <c r="C57" s="4" t="str">
        <f>+YLV!B55</f>
        <v>SERIE: CD8S9119- POS CONTACTLESS CHIP -  VAUCHER N° 0005631 -  OP: 124116</v>
      </c>
      <c r="D57" s="13">
        <f>+YLV!M55</f>
        <v>210</v>
      </c>
      <c r="E57" s="11"/>
      <c r="F57" s="4" t="str">
        <f>+YLV!C55</f>
        <v>005042111</v>
      </c>
      <c r="G57" s="14" t="str">
        <f>+YLV!A55</f>
        <v>2111-124116</v>
      </c>
      <c r="H57" s="4" t="str">
        <f>+YLV!H55</f>
        <v>15:07:08</v>
      </c>
      <c r="I57" s="4" t="str">
        <f>+YLV!R55</f>
        <v>0803</v>
      </c>
      <c r="J57" s="11"/>
      <c r="K57" s="4" t="str">
        <f t="shared" si="0"/>
        <v>2111-124116</v>
      </c>
      <c r="L57" s="4" t="str">
        <f t="shared" si="1"/>
        <v>2111-124116 -SERIE: CD8S9119- POS CONTACTLESS CHIP -  VAUCHER N° 0005631 -  OP: 124116</v>
      </c>
      <c r="M57" s="5"/>
    </row>
    <row r="58" spans="2:13" x14ac:dyDescent="0.25">
      <c r="B58" s="12" t="str">
        <f>+YLV!G56</f>
        <v>15/01/2026</v>
      </c>
      <c r="C58" s="4" t="str">
        <f>+YLV!B56</f>
        <v>SERIE: CD8S9119- POS CONTACTLESS CHIP -  VAUCHER N° 0005629 -  OP: 122843</v>
      </c>
      <c r="D58" s="13">
        <f>+YLV!M56</f>
        <v>270</v>
      </c>
      <c r="E58" s="11"/>
      <c r="F58" s="4" t="str">
        <f>+YLV!C56</f>
        <v>005042111</v>
      </c>
      <c r="G58" s="14" t="str">
        <f>+YLV!A56</f>
        <v>2111-122843</v>
      </c>
      <c r="H58" s="4" t="str">
        <f>+YLV!H56</f>
        <v>15:02:26</v>
      </c>
      <c r="I58" s="4" t="str">
        <f>+YLV!R56</f>
        <v>0803</v>
      </c>
      <c r="J58" s="11"/>
      <c r="K58" s="4" t="str">
        <f t="shared" si="0"/>
        <v>2111-122843</v>
      </c>
      <c r="L58" s="4" t="str">
        <f t="shared" si="1"/>
        <v>2111-122843 -SERIE: CD8S9119- POS CONTACTLESS CHIP -  VAUCHER N° 0005629 -  OP: 122843</v>
      </c>
      <c r="M58" s="5"/>
    </row>
    <row r="59" spans="2:13" x14ac:dyDescent="0.25">
      <c r="B59" s="12" t="str">
        <f>+YLV!G57</f>
        <v>15/01/2026</v>
      </c>
      <c r="C59" s="4" t="str">
        <f>+YLV!B57</f>
        <v>SERIE: CD8S9119- POS CONTACTLESS CHIP -  VAUCHER N° 0005620 -  OP: 060178</v>
      </c>
      <c r="D59" s="13">
        <f>+YLV!M57</f>
        <v>120</v>
      </c>
      <c r="E59" s="11"/>
      <c r="F59" s="4" t="str">
        <f>+YLV!C57</f>
        <v>005042111</v>
      </c>
      <c r="G59" s="14" t="str">
        <f>+YLV!A57</f>
        <v>2111-060178</v>
      </c>
      <c r="H59" s="4" t="str">
        <f>+YLV!H57</f>
        <v>14:21:07</v>
      </c>
      <c r="I59" s="4" t="str">
        <f>+YLV!R57</f>
        <v>0803</v>
      </c>
      <c r="J59" s="11"/>
      <c r="K59" s="4" t="str">
        <f t="shared" si="0"/>
        <v>2111-060178</v>
      </c>
      <c r="L59" s="4" t="str">
        <f t="shared" si="1"/>
        <v>2111-060178 -SERIE: CD8S9119- POS CONTACTLESS CHIP -  VAUCHER N° 0005620 -  OP: 060178</v>
      </c>
      <c r="M59" s="5"/>
    </row>
    <row r="60" spans="2:13" x14ac:dyDescent="0.25">
      <c r="B60" s="12" t="str">
        <f>+YLV!G58</f>
        <v>15/01/2026</v>
      </c>
      <c r="C60" s="4" t="str">
        <f>+YLV!B58</f>
        <v>SERIE: MPP001LL3- POS QR -  VAUCHER N° 8010439 -  OP: 250049</v>
      </c>
      <c r="D60" s="13">
        <f>+YLV!M58</f>
        <v>130</v>
      </c>
      <c r="E60" s="11"/>
      <c r="F60" s="4" t="str">
        <f>+YLV!C58</f>
        <v>005042111</v>
      </c>
      <c r="G60" s="14" t="str">
        <f>+YLV!A58</f>
        <v>2111-250049</v>
      </c>
      <c r="H60" s="4" t="str">
        <f>+YLV!H58</f>
        <v>18:10:26</v>
      </c>
      <c r="I60" s="4" t="str">
        <f>+YLV!R58</f>
        <v>0803</v>
      </c>
      <c r="J60" s="11"/>
      <c r="K60" s="4" t="str">
        <f t="shared" si="0"/>
        <v>2111-250049</v>
      </c>
      <c r="L60" s="4" t="str">
        <f t="shared" si="1"/>
        <v>2111-250049 -SERIE: MPP001LL3- POS QR -  VAUCHER N° 8010439 -  OP: 250049</v>
      </c>
      <c r="M60" s="5"/>
    </row>
    <row r="61" spans="2:13" x14ac:dyDescent="0.25">
      <c r="B61" s="12" t="str">
        <f>+YLV!G59</f>
        <v>15/01/2026</v>
      </c>
      <c r="C61" s="4" t="str">
        <f>+YLV!B59</f>
        <v>SERIE: MPP001LL3- POS QR -  VAUCHER N° 7041113 -  OP: 237946</v>
      </c>
      <c r="D61" s="13">
        <f>+YLV!M59</f>
        <v>300</v>
      </c>
      <c r="E61" s="11"/>
      <c r="F61" s="4" t="str">
        <f>+YLV!C59</f>
        <v>005042111</v>
      </c>
      <c r="G61" s="14" t="str">
        <f>+YLV!A59</f>
        <v>2111-237946</v>
      </c>
      <c r="H61" s="4" t="str">
        <f>+YLV!H59</f>
        <v>17:44:53</v>
      </c>
      <c r="I61" s="4" t="str">
        <f>+YLV!R59</f>
        <v>0803</v>
      </c>
      <c r="J61" s="11"/>
      <c r="K61" s="4" t="str">
        <f t="shared" si="0"/>
        <v>2111-237946</v>
      </c>
      <c r="L61" s="4" t="str">
        <f t="shared" si="1"/>
        <v>2111-237946 -SERIE: MPP001LL3- POS QR -  VAUCHER N° 7041113 -  OP: 237946</v>
      </c>
      <c r="M61" s="5"/>
    </row>
    <row r="62" spans="2:13" x14ac:dyDescent="0.25">
      <c r="B62" s="12" t="str">
        <f>+YLV!G60</f>
        <v>15/01/2026</v>
      </c>
      <c r="C62" s="4" t="str">
        <f>+YLV!B60</f>
        <v>SERIE: MPP001LL3- POS QR -  VAUCHER N° 5032423 -  OP: 188390</v>
      </c>
      <c r="D62" s="13">
        <f>+YLV!M60</f>
        <v>35</v>
      </c>
      <c r="E62" s="11"/>
      <c r="F62" s="4" t="str">
        <f>+YLV!C60</f>
        <v>005042111</v>
      </c>
      <c r="G62" s="14" t="str">
        <f>+YLV!A60</f>
        <v>2111-188390</v>
      </c>
      <c r="H62" s="4" t="str">
        <f>+YLV!H60</f>
        <v>15:42:35</v>
      </c>
      <c r="I62" s="4" t="str">
        <f>+YLV!R60</f>
        <v>0803</v>
      </c>
      <c r="J62" s="11"/>
      <c r="K62" s="4" t="str">
        <f t="shared" si="0"/>
        <v>2111-188390</v>
      </c>
      <c r="L62" s="4" t="str">
        <f t="shared" si="1"/>
        <v>2111-188390 -SERIE: MPP001LL3- POS QR -  VAUCHER N° 5032423 -  OP: 188390</v>
      </c>
      <c r="M62" s="5"/>
    </row>
    <row r="63" spans="2:13" x14ac:dyDescent="0.25">
      <c r="B63" s="12" t="str">
        <f>+YLV!G61</f>
        <v>15/01/2026</v>
      </c>
      <c r="C63" s="4" t="str">
        <f>+YLV!B61</f>
        <v>SERIE: MPP001LL3- POS QR -  VAUCHER N° 4023669 -  OP: 159795</v>
      </c>
      <c r="D63" s="13">
        <f>+YLV!M61</f>
        <v>35</v>
      </c>
      <c r="E63" s="11"/>
      <c r="F63" s="4" t="str">
        <f>+YLV!C61</f>
        <v>005042111</v>
      </c>
      <c r="G63" s="14" t="str">
        <f>+YLV!A61</f>
        <v>2111-159795</v>
      </c>
      <c r="H63" s="4" t="str">
        <f>+YLV!H61</f>
        <v>14:26:54</v>
      </c>
      <c r="I63" s="4" t="str">
        <f>+YLV!R61</f>
        <v>0803</v>
      </c>
      <c r="J63" s="11"/>
      <c r="K63" s="4" t="str">
        <f t="shared" si="0"/>
        <v>2111-159795</v>
      </c>
      <c r="L63" s="4" t="str">
        <f t="shared" si="1"/>
        <v>2111-159795 -SERIE: MPP001LL3- POS QR -  VAUCHER N° 4023669 -  OP: 159795</v>
      </c>
      <c r="M63" s="5"/>
    </row>
    <row r="64" spans="2:13" x14ac:dyDescent="0.25">
      <c r="B64" s="12" t="str">
        <f>+YLV!G62</f>
        <v>15/01/2026</v>
      </c>
      <c r="C64" s="4" t="str">
        <f>+YLV!B62</f>
        <v>SERIE: MPP001LL3- POS QR -  VAUCHER N° 4034349 -  OP: 164940</v>
      </c>
      <c r="D64" s="13">
        <f>+YLV!M62</f>
        <v>20</v>
      </c>
      <c r="E64" s="11"/>
      <c r="F64" s="4" t="str">
        <f>+YLV!C62</f>
        <v>005042111</v>
      </c>
      <c r="G64" s="14" t="str">
        <f>+YLV!A62</f>
        <v>2111-164940</v>
      </c>
      <c r="H64" s="4" t="str">
        <f>+YLV!H62</f>
        <v>14:39:45</v>
      </c>
      <c r="I64" s="4" t="str">
        <f>+YLV!R62</f>
        <v>0803</v>
      </c>
      <c r="J64" s="11"/>
      <c r="K64" s="4" t="str">
        <f t="shared" si="0"/>
        <v>2111-164940</v>
      </c>
      <c r="L64" s="4" t="str">
        <f t="shared" si="1"/>
        <v>2111-164940 -SERIE: MPP001LL3- POS QR -  VAUCHER N° 4034349 -  OP: 164940</v>
      </c>
      <c r="M64" s="5"/>
    </row>
    <row r="65" spans="2:13" x14ac:dyDescent="0.25">
      <c r="B65" s="12" t="str">
        <f>+YLV!G63</f>
        <v>15/01/2026</v>
      </c>
      <c r="C65" s="4" t="str">
        <f>+YLV!B63</f>
        <v>SERIE: MPP001LL3- POS QR -  VAUCHER N° 2006188 -  OP: 099353</v>
      </c>
      <c r="D65" s="13">
        <f>+YLV!M63</f>
        <v>120</v>
      </c>
      <c r="E65" s="11"/>
      <c r="F65" s="4" t="str">
        <f>+YLV!C63</f>
        <v>005042111</v>
      </c>
      <c r="G65" s="14" t="str">
        <f>+YLV!A63</f>
        <v>2111-099353</v>
      </c>
      <c r="H65" s="4" t="str">
        <f>+YLV!H63</f>
        <v>12:07:54</v>
      </c>
      <c r="I65" s="4" t="str">
        <f>+YLV!R63</f>
        <v>0803</v>
      </c>
      <c r="J65" s="11"/>
      <c r="K65" s="4" t="str">
        <f t="shared" si="0"/>
        <v>2111-099353</v>
      </c>
      <c r="L65" s="4" t="str">
        <f t="shared" si="1"/>
        <v>2111-099353 -SERIE: MPP001LL3- POS QR -  VAUCHER N° 2006188 -  OP: 099353</v>
      </c>
      <c r="M65" s="5"/>
    </row>
    <row r="66" spans="2:13" x14ac:dyDescent="0.25">
      <c r="B66" s="12" t="str">
        <f>+YLV!G64</f>
        <v>15/01/2026</v>
      </c>
      <c r="C66" s="4" t="str">
        <f>+YLV!B64</f>
        <v>SERIE: MPP001LL3- POS QR -  VAUCHER N° 1043230 -  OP: 095106</v>
      </c>
      <c r="D66" s="13">
        <f>+YLV!M64</f>
        <v>173</v>
      </c>
      <c r="E66" s="11"/>
      <c r="F66" s="4" t="str">
        <f>+YLV!C64</f>
        <v>005042111</v>
      </c>
      <c r="G66" s="14" t="str">
        <f>+YLV!A64</f>
        <v>2111-095106</v>
      </c>
      <c r="H66" s="4" t="str">
        <f>+YLV!H64</f>
        <v>11:56:48</v>
      </c>
      <c r="I66" s="4" t="str">
        <f>+YLV!R64</f>
        <v>0803</v>
      </c>
      <c r="J66" s="11"/>
      <c r="K66" s="4" t="str">
        <f t="shared" si="0"/>
        <v>2111-095106</v>
      </c>
      <c r="L66" s="4" t="str">
        <f t="shared" si="1"/>
        <v>2111-095106 -SERIE: MPP001LL3- POS QR -  VAUCHER N° 1043230 -  OP: 095106</v>
      </c>
      <c r="M66" s="5"/>
    </row>
    <row r="67" spans="2:13" x14ac:dyDescent="0.25">
      <c r="B67" s="12" t="str">
        <f>+YLV!G65</f>
        <v>16/01/2026</v>
      </c>
      <c r="C67" s="4" t="str">
        <f>+YLV!B65</f>
        <v>SERIE: CD8S9119- POS CONTACTLESS CHIP -  VAUCHER N° 0005665 -  OP: 096482</v>
      </c>
      <c r="D67" s="13">
        <f>+YLV!M65</f>
        <v>90</v>
      </c>
      <c r="E67" s="11"/>
      <c r="F67" s="4" t="str">
        <f>+YLV!C65</f>
        <v>005042111</v>
      </c>
      <c r="G67" s="14" t="str">
        <f>+YLV!A65</f>
        <v>2111-096482</v>
      </c>
      <c r="H67" s="4" t="str">
        <f>+YLV!H65</f>
        <v>17:46:02</v>
      </c>
      <c r="I67" s="4" t="str">
        <f>+YLV!R65</f>
        <v>0804</v>
      </c>
      <c r="J67" s="11"/>
      <c r="K67" s="4" t="str">
        <f t="shared" si="0"/>
        <v>2111-096482</v>
      </c>
      <c r="L67" s="4" t="str">
        <f t="shared" si="1"/>
        <v>2111-096482 -SERIE: CD8S9119- POS CONTACTLESS CHIP -  VAUCHER N° 0005665 -  OP: 096482</v>
      </c>
      <c r="M67" s="5"/>
    </row>
    <row r="68" spans="2:13" x14ac:dyDescent="0.25">
      <c r="B68" s="12" t="str">
        <f>+YLV!G66</f>
        <v>16/01/2026</v>
      </c>
      <c r="C68" s="4" t="str">
        <f>+YLV!B66</f>
        <v>SERIE: CD8S9119- POS CONTACTLESS CHIP -  VAUCHER N° 0005663 -  OP: 594520</v>
      </c>
      <c r="D68" s="13">
        <f>+YLV!M66</f>
        <v>87</v>
      </c>
      <c r="E68" s="11"/>
      <c r="F68" s="4" t="str">
        <f>+YLV!C66</f>
        <v>005042111</v>
      </c>
      <c r="G68" s="14" t="str">
        <f>+YLV!A66</f>
        <v>2111-594520</v>
      </c>
      <c r="H68" s="4" t="str">
        <f>+YLV!H66</f>
        <v>14:22:24</v>
      </c>
      <c r="I68" s="4" t="str">
        <f>+YLV!R66</f>
        <v>0804</v>
      </c>
      <c r="J68" s="11"/>
      <c r="K68" s="4" t="str">
        <f t="shared" si="0"/>
        <v>2111-594520</v>
      </c>
      <c r="L68" s="4" t="str">
        <f t="shared" si="1"/>
        <v>2111-594520 -SERIE: CD8S9119- POS CONTACTLESS CHIP -  VAUCHER N° 0005663 -  OP: 594520</v>
      </c>
      <c r="M68" s="5"/>
    </row>
    <row r="69" spans="2:13" x14ac:dyDescent="0.25">
      <c r="B69" s="12" t="str">
        <f>+YLV!G67</f>
        <v>16/01/2026</v>
      </c>
      <c r="C69" s="4" t="str">
        <f>+YLV!B67</f>
        <v>SERIE: CD8S9119- POS CONTACTLESS CHIP -  VAUCHER N° 0005654 -  OP: 138617</v>
      </c>
      <c r="D69" s="13">
        <f>+YLV!M67</f>
        <v>97.5</v>
      </c>
      <c r="E69" s="11"/>
      <c r="F69" s="4" t="str">
        <f>+YLV!C67</f>
        <v>005042111</v>
      </c>
      <c r="G69" s="14" t="str">
        <f>+YLV!A67</f>
        <v>2111-138617</v>
      </c>
      <c r="H69" s="4" t="str">
        <f>+YLV!H67</f>
        <v>12:15:34</v>
      </c>
      <c r="I69" s="4" t="str">
        <f>+YLV!R67</f>
        <v>0804</v>
      </c>
      <c r="J69" s="11"/>
      <c r="K69" s="4" t="str">
        <f t="shared" ref="K69:K123" si="2">CONCATENATE(,G69)</f>
        <v>2111-138617</v>
      </c>
      <c r="L69" s="4" t="str">
        <f t="shared" ref="L69:L123" si="3">CONCATENATE(K69," -",C69)</f>
        <v>2111-138617 -SERIE: CD8S9119- POS CONTACTLESS CHIP -  VAUCHER N° 0005654 -  OP: 138617</v>
      </c>
      <c r="M69" s="5"/>
    </row>
    <row r="70" spans="2:13" x14ac:dyDescent="0.25">
      <c r="B70" s="12" t="str">
        <f>+YLV!G68</f>
        <v>16/01/2026</v>
      </c>
      <c r="C70" s="4" t="str">
        <f>+YLV!B68</f>
        <v>SERIE: CD8S9119- POS CONTACTLESS CHIP -  VAUCHER N° 0005652 -  OP: 629329</v>
      </c>
      <c r="D70" s="13">
        <f>+YLV!M68</f>
        <v>35</v>
      </c>
      <c r="E70" s="11"/>
      <c r="F70" s="4" t="str">
        <f>+YLV!C68</f>
        <v>005042111</v>
      </c>
      <c r="G70" s="14" t="str">
        <f>+YLV!A68</f>
        <v>2111-629329</v>
      </c>
      <c r="H70" s="4" t="str">
        <f>+YLV!H68</f>
        <v>11:28:29</v>
      </c>
      <c r="I70" s="4" t="str">
        <f>+YLV!R68</f>
        <v>0804</v>
      </c>
      <c r="J70" s="11"/>
      <c r="K70" s="4" t="str">
        <f t="shared" si="2"/>
        <v>2111-629329</v>
      </c>
      <c r="L70" s="4" t="str">
        <f t="shared" si="3"/>
        <v>2111-629329 -SERIE: CD8S9119- POS CONTACTLESS CHIP -  VAUCHER N° 0005652 -  OP: 629329</v>
      </c>
      <c r="M70" s="5"/>
    </row>
    <row r="71" spans="2:13" x14ac:dyDescent="0.25">
      <c r="B71" s="12" t="str">
        <f>+YLV!G69</f>
        <v>16/01/2026</v>
      </c>
      <c r="C71" s="4" t="str">
        <f>+YLV!B69</f>
        <v>SERIE: MPP001LL3- POS QR -  VAUCHER N° 4016714 -  OP: 168040</v>
      </c>
      <c r="D71" s="13">
        <f>+YLV!M69</f>
        <v>372</v>
      </c>
      <c r="E71" s="11"/>
      <c r="F71" s="4" t="str">
        <f>+YLV!C69</f>
        <v>005042111</v>
      </c>
      <c r="G71" s="14" t="str">
        <f>+YLV!A69</f>
        <v>2111-168040</v>
      </c>
      <c r="H71" s="4" t="str">
        <f>+YLV!H69</f>
        <v>14:17:37</v>
      </c>
      <c r="I71" s="4" t="str">
        <f>+YLV!R69</f>
        <v>0804</v>
      </c>
      <c r="J71" s="11"/>
      <c r="K71" s="4" t="str">
        <f t="shared" si="2"/>
        <v>2111-168040</v>
      </c>
      <c r="L71" s="4" t="str">
        <f t="shared" si="3"/>
        <v>2111-168040 -SERIE: MPP001LL3- POS QR -  VAUCHER N° 4016714 -  OP: 168040</v>
      </c>
      <c r="M71" s="5"/>
    </row>
    <row r="72" spans="2:13" x14ac:dyDescent="0.25">
      <c r="B72" s="12" t="str">
        <f>+YLV!G70</f>
        <v>16/01/2026</v>
      </c>
      <c r="C72" s="4" t="str">
        <f>+YLV!B70</f>
        <v>SERIE: MPP001LL3- POS QR -  VAUCHER N° 8019421 -  OP: 273278</v>
      </c>
      <c r="D72" s="13">
        <f>+YLV!M70</f>
        <v>45</v>
      </c>
      <c r="E72" s="11"/>
      <c r="F72" s="4" t="str">
        <f>+YLV!C70</f>
        <v>005042111</v>
      </c>
      <c r="G72" s="14" t="str">
        <f>+YLV!A70</f>
        <v>2111-273278</v>
      </c>
      <c r="H72" s="4" t="str">
        <f>+YLV!H70</f>
        <v>18:18:07</v>
      </c>
      <c r="I72" s="4" t="str">
        <f>+YLV!R70</f>
        <v>0804</v>
      </c>
      <c r="J72" s="11"/>
      <c r="K72" s="4" t="str">
        <f t="shared" si="2"/>
        <v>2111-273278</v>
      </c>
      <c r="L72" s="4" t="str">
        <f t="shared" si="3"/>
        <v>2111-273278 -SERIE: MPP001LL3- POS QR -  VAUCHER N° 8019421 -  OP: 273278</v>
      </c>
      <c r="M72" s="5"/>
    </row>
    <row r="73" spans="2:13" x14ac:dyDescent="0.25">
      <c r="B73" s="12" t="str">
        <f>+YLV!G71</f>
        <v>16/01/2026</v>
      </c>
      <c r="C73" s="4" t="str">
        <f>+YLV!B71</f>
        <v>SERIE: MPP001LL3- POS QR -  VAUCHER N° 2020459 -  OP: 115242</v>
      </c>
      <c r="D73" s="13">
        <f>+YLV!M71</f>
        <v>60</v>
      </c>
      <c r="E73" s="11"/>
      <c r="F73" s="4" t="str">
        <f>+YLV!C71</f>
        <v>005042111</v>
      </c>
      <c r="G73" s="14" t="str">
        <f>+YLV!A71</f>
        <v>2111-115242</v>
      </c>
      <c r="H73" s="4" t="str">
        <f>+YLV!H71</f>
        <v>12:24:06</v>
      </c>
      <c r="I73" s="4" t="str">
        <f>+YLV!R71</f>
        <v>0804</v>
      </c>
      <c r="J73" s="11"/>
      <c r="K73" s="4" t="str">
        <f t="shared" si="2"/>
        <v>2111-115242</v>
      </c>
      <c r="L73" s="4" t="str">
        <f t="shared" si="3"/>
        <v>2111-115242 -SERIE: MPP001LL3- POS QR -  VAUCHER N° 2020459 -  OP: 115242</v>
      </c>
      <c r="M73" s="5"/>
    </row>
    <row r="74" spans="2:13" x14ac:dyDescent="0.25">
      <c r="B74" s="12" t="str">
        <f>+YLV!G72</f>
        <v>19/01/2026</v>
      </c>
      <c r="C74" s="4" t="str">
        <f>+YLV!B72</f>
        <v>SERIE: CD8S9119- POS CONTACTLESS CHIP -  VAUCHER N° 0005695 -  OP: 460770</v>
      </c>
      <c r="D74" s="13">
        <f>+YLV!M72</f>
        <v>127.5</v>
      </c>
      <c r="E74" s="11"/>
      <c r="F74" s="4" t="str">
        <f>+YLV!C72</f>
        <v>005042111</v>
      </c>
      <c r="G74" s="14" t="str">
        <f>+YLV!A72</f>
        <v>2111-460770</v>
      </c>
      <c r="H74" s="4" t="str">
        <f>+YLV!H72</f>
        <v>17:36:00</v>
      </c>
      <c r="I74" s="4" t="str">
        <f>+YLV!R72</f>
        <v>0805</v>
      </c>
      <c r="J74" s="11"/>
      <c r="K74" s="4" t="str">
        <f t="shared" si="2"/>
        <v>2111-460770</v>
      </c>
      <c r="L74" s="4" t="str">
        <f t="shared" si="3"/>
        <v>2111-460770 -SERIE: CD8S9119- POS CONTACTLESS CHIP -  VAUCHER N° 0005695 -  OP: 460770</v>
      </c>
      <c r="M74" s="5"/>
    </row>
    <row r="75" spans="2:13" x14ac:dyDescent="0.25">
      <c r="B75" s="12" t="str">
        <f>+YLV!G73</f>
        <v>19/01/2026</v>
      </c>
      <c r="C75" s="4" t="str">
        <f>+YLV!B73</f>
        <v>SERIE: CD8S9119- POS CONTACTLESS CHIP -  VAUCHER N° 0005685 -  OP: 153564</v>
      </c>
      <c r="D75" s="13">
        <f>+YLV!M73</f>
        <v>100</v>
      </c>
      <c r="E75" s="11"/>
      <c r="F75" s="4" t="str">
        <f>+YLV!C73</f>
        <v>005042111</v>
      </c>
      <c r="G75" s="14" t="str">
        <f>+YLV!A73</f>
        <v>2111-153564</v>
      </c>
      <c r="H75" s="4" t="str">
        <f>+YLV!H73</f>
        <v>15:16:47</v>
      </c>
      <c r="I75" s="4" t="str">
        <f>+YLV!R73</f>
        <v>0805</v>
      </c>
      <c r="J75" s="11"/>
      <c r="K75" s="4" t="str">
        <f t="shared" si="2"/>
        <v>2111-153564</v>
      </c>
      <c r="L75" s="4" t="str">
        <f t="shared" si="3"/>
        <v>2111-153564 -SERIE: CD8S9119- POS CONTACTLESS CHIP -  VAUCHER N° 0005685 -  OP: 153564</v>
      </c>
      <c r="M75" s="5"/>
    </row>
    <row r="76" spans="2:13" x14ac:dyDescent="0.25">
      <c r="B76" s="12" t="str">
        <f>+YLV!G74</f>
        <v>19/01/2026</v>
      </c>
      <c r="C76" s="4" t="str">
        <f>+YLV!B74</f>
        <v>SERIE: CD8S9119- POS CONTACTLESS CHIP -  VAUCHER N° 0005683 -  OP: 257598</v>
      </c>
      <c r="D76" s="13">
        <f>+YLV!M74</f>
        <v>100</v>
      </c>
      <c r="E76" s="11"/>
      <c r="F76" s="4" t="str">
        <f>+YLV!C74</f>
        <v>005042111</v>
      </c>
      <c r="G76" s="14" t="str">
        <f>+YLV!A74</f>
        <v>2111-257598</v>
      </c>
      <c r="H76" s="4" t="str">
        <f>+YLV!H74</f>
        <v>14:33:24</v>
      </c>
      <c r="I76" s="4" t="str">
        <f>+YLV!R74</f>
        <v>0805</v>
      </c>
      <c r="J76" s="11"/>
      <c r="K76" s="4" t="str">
        <f t="shared" si="2"/>
        <v>2111-257598</v>
      </c>
      <c r="L76" s="4" t="str">
        <f t="shared" si="3"/>
        <v>2111-257598 -SERIE: CD8S9119- POS CONTACTLESS CHIP -  VAUCHER N° 0005683 -  OP: 257598</v>
      </c>
      <c r="M76" s="5"/>
    </row>
    <row r="77" spans="2:13" x14ac:dyDescent="0.25">
      <c r="B77" s="12" t="str">
        <f>+YLV!G75</f>
        <v>19/01/2026</v>
      </c>
      <c r="C77" s="4" t="str">
        <f>+YLV!B75</f>
        <v>SERIE: CD8S9119- POS CONTACTLESS CHIP -  VAUCHER N° 0005681 -  OP: 112741</v>
      </c>
      <c r="D77" s="13">
        <f>+YLV!M75</f>
        <v>70</v>
      </c>
      <c r="E77" s="11"/>
      <c r="F77" s="4" t="str">
        <f>+YLV!C75</f>
        <v>005042111</v>
      </c>
      <c r="G77" s="14" t="str">
        <f>+YLV!A75</f>
        <v>2111-112741</v>
      </c>
      <c r="H77" s="4" t="str">
        <f>+YLV!H75</f>
        <v>14:11:20</v>
      </c>
      <c r="I77" s="4" t="str">
        <f>+YLV!R75</f>
        <v>0805</v>
      </c>
      <c r="J77" s="11"/>
      <c r="K77" s="4" t="str">
        <f t="shared" si="2"/>
        <v>2111-112741</v>
      </c>
      <c r="L77" s="4" t="str">
        <f t="shared" si="3"/>
        <v>2111-112741 -SERIE: CD8S9119- POS CONTACTLESS CHIP -  VAUCHER N° 0005681 -  OP: 112741</v>
      </c>
      <c r="M77" s="5"/>
    </row>
    <row r="78" spans="2:13" x14ac:dyDescent="0.25">
      <c r="B78" s="12" t="str">
        <f>+YLV!G76</f>
        <v>19/01/2026</v>
      </c>
      <c r="C78" s="4" t="str">
        <f>+YLV!B76</f>
        <v>SERIE: MPP001LL3- POS QR -  VAUCHER N° 7017662 -  OP: 247330</v>
      </c>
      <c r="D78" s="13">
        <f>+YLV!M76</f>
        <v>35</v>
      </c>
      <c r="E78" s="11"/>
      <c r="F78" s="4" t="str">
        <f>+YLV!C76</f>
        <v>005042111</v>
      </c>
      <c r="G78" s="14" t="str">
        <f>+YLV!A76</f>
        <v>2111-247330</v>
      </c>
      <c r="H78" s="4" t="str">
        <f>+YLV!H76</f>
        <v>17:19:27</v>
      </c>
      <c r="I78" s="4" t="str">
        <f>+YLV!R76</f>
        <v>0805</v>
      </c>
      <c r="J78" s="11"/>
      <c r="K78" s="4" t="str">
        <f t="shared" si="2"/>
        <v>2111-247330</v>
      </c>
      <c r="L78" s="4" t="str">
        <f t="shared" si="3"/>
        <v>2111-247330 -SERIE: MPP001LL3- POS QR -  VAUCHER N° 7017662 -  OP: 247330</v>
      </c>
      <c r="M78" s="5"/>
    </row>
    <row r="79" spans="2:13" x14ac:dyDescent="0.25">
      <c r="B79" s="12" t="str">
        <f>+YLV!G77</f>
        <v>19/01/2026</v>
      </c>
      <c r="C79" s="4" t="str">
        <f>+YLV!B77</f>
        <v>SERIE: MPP001LL3- POS QR -  VAUCHER N° 1020604 -  OP: 097652</v>
      </c>
      <c r="D79" s="13">
        <f>+YLV!M77</f>
        <v>45</v>
      </c>
      <c r="E79" s="11"/>
      <c r="F79" s="4" t="str">
        <f>+YLV!C77</f>
        <v>005042111</v>
      </c>
      <c r="G79" s="14" t="str">
        <f>+YLV!A77</f>
        <v>2111-097652</v>
      </c>
      <c r="H79" s="4" t="str">
        <f>+YLV!H77</f>
        <v>11:26:19</v>
      </c>
      <c r="I79" s="4" t="str">
        <f>+YLV!R77</f>
        <v>0805</v>
      </c>
      <c r="J79" s="11"/>
      <c r="K79" s="4" t="str">
        <f t="shared" si="2"/>
        <v>2111-097652</v>
      </c>
      <c r="L79" s="4" t="str">
        <f t="shared" si="3"/>
        <v>2111-097652 -SERIE: MPP001LL3- POS QR -  VAUCHER N° 1020604 -  OP: 097652</v>
      </c>
      <c r="M79" s="5"/>
    </row>
    <row r="80" spans="2:13" x14ac:dyDescent="0.25">
      <c r="B80" s="12" t="str">
        <f>+YLV!G78</f>
        <v>20/01/2026</v>
      </c>
      <c r="C80" s="4" t="str">
        <f>+YLV!B78</f>
        <v>SERIE: CD8S9119- POS CONTACTLESS CHIP -  VAUCHER N° 0005710 -  OP: 373846</v>
      </c>
      <c r="D80" s="13">
        <f>+YLV!M78</f>
        <v>289.5</v>
      </c>
      <c r="E80" s="11"/>
      <c r="F80" s="4" t="str">
        <f>+YLV!C78</f>
        <v>005042111</v>
      </c>
      <c r="G80" s="14" t="str">
        <f>+YLV!A78</f>
        <v>2111-373846</v>
      </c>
      <c r="H80" s="4" t="str">
        <f>+YLV!H78</f>
        <v>14:07:49</v>
      </c>
      <c r="I80" s="4" t="str">
        <f>+YLV!R78</f>
        <v>0806</v>
      </c>
      <c r="J80" s="11"/>
      <c r="K80" s="4" t="str">
        <f t="shared" si="2"/>
        <v>2111-373846</v>
      </c>
      <c r="L80" s="4" t="str">
        <f t="shared" si="3"/>
        <v>2111-373846 -SERIE: CD8S9119- POS CONTACTLESS CHIP -  VAUCHER N° 0005710 -  OP: 373846</v>
      </c>
      <c r="M80" s="5"/>
    </row>
    <row r="81" spans="2:13" x14ac:dyDescent="0.25">
      <c r="B81" s="12" t="str">
        <f>+YLV!G79</f>
        <v>20/01/2026</v>
      </c>
      <c r="C81" s="4" t="str">
        <f>+YLV!B79</f>
        <v>SERIE: CD8S9119- POS CONTACTLESS CHIP -  VAUCHER N° 0005705 -  OP: 471029</v>
      </c>
      <c r="D81" s="13">
        <f>+YLV!M79</f>
        <v>105</v>
      </c>
      <c r="E81" s="11"/>
      <c r="F81" s="4" t="str">
        <f>+YLV!C79</f>
        <v>005042111</v>
      </c>
      <c r="G81" s="14" t="str">
        <f>+YLV!A79</f>
        <v>2111-471029</v>
      </c>
      <c r="H81" s="4" t="str">
        <f>+YLV!H79</f>
        <v>12:05:42</v>
      </c>
      <c r="I81" s="4" t="str">
        <f>+YLV!R79</f>
        <v>0806</v>
      </c>
      <c r="J81" s="11"/>
      <c r="K81" s="4" t="str">
        <f t="shared" si="2"/>
        <v>2111-471029</v>
      </c>
      <c r="L81" s="4" t="str">
        <f t="shared" si="3"/>
        <v>2111-471029 -SERIE: CD8S9119- POS CONTACTLESS CHIP -  VAUCHER N° 0005705 -  OP: 471029</v>
      </c>
      <c r="M81" s="5"/>
    </row>
    <row r="82" spans="2:13" x14ac:dyDescent="0.25">
      <c r="B82" s="12" t="str">
        <f>+YLV!G80</f>
        <v>20/01/2026</v>
      </c>
      <c r="C82" s="4" t="str">
        <f>+YLV!B80</f>
        <v>SERIE: PAYZEN- POS VIRTUAL -  VAUCHER N° 0865050 -  OP: 550535</v>
      </c>
      <c r="D82" s="13">
        <f>+YLV!M80</f>
        <v>480</v>
      </c>
      <c r="E82" s="11"/>
      <c r="F82" s="4" t="str">
        <f>+YLV!C80</f>
        <v>005042111</v>
      </c>
      <c r="G82" s="14" t="str">
        <f>+YLV!A80</f>
        <v>2111-550535</v>
      </c>
      <c r="H82" s="4" t="str">
        <f>+YLV!H80</f>
        <v>16:41:55</v>
      </c>
      <c r="I82" s="4">
        <f>+YLV!R80</f>
        <v>0</v>
      </c>
      <c r="J82" s="11"/>
      <c r="K82" s="4" t="str">
        <f t="shared" si="2"/>
        <v>2111-550535</v>
      </c>
      <c r="L82" s="4" t="str">
        <f t="shared" si="3"/>
        <v>2111-550535 -SERIE: PAYZEN- POS VIRTUAL -  VAUCHER N° 0865050 -  OP: 550535</v>
      </c>
      <c r="M82" s="5"/>
    </row>
    <row r="83" spans="2:13" x14ac:dyDescent="0.25">
      <c r="B83" s="12" t="str">
        <f>+YLV!G81</f>
        <v>20/01/2026</v>
      </c>
      <c r="C83" s="4" t="str">
        <f>+YLV!B81</f>
        <v>SERIE: MPP001LL3- POS QR -  VAUCHER N° 2050084 -  OP: 125037</v>
      </c>
      <c r="D83" s="13">
        <f>+YLV!M81</f>
        <v>135</v>
      </c>
      <c r="E83" s="11"/>
      <c r="F83" s="4" t="str">
        <f>+YLV!C81</f>
        <v>005042111</v>
      </c>
      <c r="G83" s="14" t="str">
        <f>+YLV!A81</f>
        <v>2111-125037</v>
      </c>
      <c r="H83" s="4" t="str">
        <f>+YLV!H81</f>
        <v>12:57:31</v>
      </c>
      <c r="I83" s="4" t="str">
        <f>+YLV!R81</f>
        <v>0806</v>
      </c>
      <c r="J83" s="11"/>
      <c r="K83" s="4" t="str">
        <f t="shared" si="2"/>
        <v>2111-125037</v>
      </c>
      <c r="L83" s="4" t="str">
        <f t="shared" si="3"/>
        <v>2111-125037 -SERIE: MPP001LL3- POS QR -  VAUCHER N° 2050084 -  OP: 125037</v>
      </c>
      <c r="M83" s="5"/>
    </row>
    <row r="84" spans="2:13" x14ac:dyDescent="0.25">
      <c r="B84" s="12" t="str">
        <f>+YLV!G82</f>
        <v>20/01/2026</v>
      </c>
      <c r="C84" s="4" t="str">
        <f>+YLV!B82</f>
        <v>SERIE: MPP001LL3- POS QR -  VAUCHER N° 5041284 -  OP: 199059</v>
      </c>
      <c r="D84" s="13">
        <f>+YLV!M82</f>
        <v>85</v>
      </c>
      <c r="E84" s="11"/>
      <c r="F84" s="4" t="str">
        <f>+YLV!C82</f>
        <v>005042111</v>
      </c>
      <c r="G84" s="14" t="str">
        <f>+YLV!A82</f>
        <v>2111-199059</v>
      </c>
      <c r="H84" s="4" t="str">
        <f>+YLV!H82</f>
        <v>15:54:19</v>
      </c>
      <c r="I84" s="4" t="str">
        <f>+YLV!R82</f>
        <v>0806</v>
      </c>
      <c r="J84" s="11"/>
      <c r="K84" s="4" t="str">
        <f t="shared" si="2"/>
        <v>2111-199059</v>
      </c>
      <c r="L84" s="4" t="str">
        <f t="shared" si="3"/>
        <v>2111-199059 -SERIE: MPP001LL3- POS QR -  VAUCHER N° 5041284 -  OP: 199059</v>
      </c>
      <c r="M84" s="5"/>
    </row>
    <row r="85" spans="2:13" x14ac:dyDescent="0.25">
      <c r="B85" s="12" t="str">
        <f>+YLV!G83</f>
        <v>21/01/2026</v>
      </c>
      <c r="C85" s="4" t="str">
        <f>+YLV!B83</f>
        <v>SERIE: CD8S9119- POS CONTACTLESS CHIP -  VAUCHER N° 0005728 -  OP: 789146</v>
      </c>
      <c r="D85" s="13">
        <f>+YLV!M83</f>
        <v>120</v>
      </c>
      <c r="E85" s="11"/>
      <c r="F85" s="4" t="str">
        <f>+YLV!C83</f>
        <v>005042111</v>
      </c>
      <c r="G85" s="14" t="str">
        <f>+YLV!A83</f>
        <v>2111-789146</v>
      </c>
      <c r="H85" s="4" t="str">
        <f>+YLV!H83</f>
        <v>15:01:40</v>
      </c>
      <c r="I85" s="4" t="str">
        <f>+YLV!R83</f>
        <v>0807</v>
      </c>
      <c r="J85" s="11"/>
      <c r="K85" s="4" t="str">
        <f t="shared" si="2"/>
        <v>2111-789146</v>
      </c>
      <c r="L85" s="4" t="str">
        <f t="shared" si="3"/>
        <v>2111-789146 -SERIE: CD8S9119- POS CONTACTLESS CHIP -  VAUCHER N° 0005728 -  OP: 789146</v>
      </c>
      <c r="M85" s="5"/>
    </row>
    <row r="86" spans="2:13" x14ac:dyDescent="0.25">
      <c r="B86" s="12" t="str">
        <f>+YLV!G84</f>
        <v>21/01/2026</v>
      </c>
      <c r="C86" s="4" t="str">
        <f>+YLV!B84</f>
        <v>SERIE: CD8S9119- POS CONTACTLESS CHIP -  VAUCHER N° 0005726 -  OP: 064813</v>
      </c>
      <c r="D86" s="13">
        <f>+YLV!M84</f>
        <v>150</v>
      </c>
      <c r="E86" s="11"/>
      <c r="F86" s="4" t="str">
        <f>+YLV!C84</f>
        <v>005042111</v>
      </c>
      <c r="G86" s="14" t="str">
        <f>+YLV!A84</f>
        <v>2111-064813</v>
      </c>
      <c r="H86" s="4" t="str">
        <f>+YLV!H84</f>
        <v>12:34:18</v>
      </c>
      <c r="I86" s="4" t="str">
        <f>+YLV!R84</f>
        <v>0807</v>
      </c>
      <c r="J86" s="11"/>
      <c r="K86" s="4" t="str">
        <f t="shared" si="2"/>
        <v>2111-064813</v>
      </c>
      <c r="L86" s="4" t="str">
        <f t="shared" si="3"/>
        <v>2111-064813 -SERIE: CD8S9119- POS CONTACTLESS CHIP -  VAUCHER N° 0005726 -  OP: 064813</v>
      </c>
      <c r="M86" s="5"/>
    </row>
    <row r="87" spans="2:13" x14ac:dyDescent="0.25">
      <c r="B87" s="12" t="str">
        <f>+YLV!G85</f>
        <v>21/01/2026</v>
      </c>
      <c r="C87" s="4" t="str">
        <f>+YLV!B85</f>
        <v>SERIE: MPP001LL3- POS QR -  VAUCHER N° 7039567 -  OP: 246118</v>
      </c>
      <c r="D87" s="13">
        <f>+YLV!M85</f>
        <v>40</v>
      </c>
      <c r="E87" s="11"/>
      <c r="F87" s="4" t="str">
        <f>+YLV!C85</f>
        <v>005042111</v>
      </c>
      <c r="G87" s="14" t="str">
        <f>+YLV!A85</f>
        <v>2111-246118</v>
      </c>
      <c r="H87" s="4" t="str">
        <f>+YLV!H85</f>
        <v>17:43:23</v>
      </c>
      <c r="I87" s="4" t="str">
        <f>+YLV!R85</f>
        <v>0807</v>
      </c>
      <c r="J87" s="11"/>
      <c r="K87" s="4" t="str">
        <f t="shared" si="2"/>
        <v>2111-246118</v>
      </c>
      <c r="L87" s="4" t="str">
        <f t="shared" si="3"/>
        <v>2111-246118 -SERIE: MPP001LL3- POS QR -  VAUCHER N° 7039567 -  OP: 246118</v>
      </c>
      <c r="M87" s="5"/>
    </row>
    <row r="88" spans="2:13" x14ac:dyDescent="0.25">
      <c r="B88" s="12" t="str">
        <f>+YLV!G86</f>
        <v>21/01/2026</v>
      </c>
      <c r="C88" s="4" t="str">
        <f>+YLV!B86</f>
        <v>SERIE: MPP001LL3- POS QR -  VAUCHER N° 1036486 -  OP: 097068</v>
      </c>
      <c r="D88" s="13">
        <f>+YLV!M86</f>
        <v>20</v>
      </c>
      <c r="E88" s="11"/>
      <c r="F88" s="4" t="str">
        <f>+YLV!C86</f>
        <v>005042111</v>
      </c>
      <c r="G88" s="14" t="str">
        <f>+YLV!A86</f>
        <v>2111-097068</v>
      </c>
      <c r="H88" s="4" t="str">
        <f>+YLV!H86</f>
        <v>11:47:13</v>
      </c>
      <c r="I88" s="4" t="str">
        <f>+YLV!R86</f>
        <v>0807</v>
      </c>
      <c r="J88" s="11"/>
      <c r="K88" s="4" t="str">
        <f t="shared" si="2"/>
        <v>2111-097068</v>
      </c>
      <c r="L88" s="4" t="str">
        <f t="shared" si="3"/>
        <v>2111-097068 -SERIE: MPP001LL3- POS QR -  VAUCHER N° 1036486 -  OP: 097068</v>
      </c>
      <c r="M88" s="5"/>
    </row>
    <row r="89" spans="2:13" x14ac:dyDescent="0.25">
      <c r="B89" s="12" t="str">
        <f>+YLV!G87</f>
        <v>22/01/2026</v>
      </c>
      <c r="C89" s="4" t="str">
        <f>+YLV!B87</f>
        <v>SERIE: CD8S9119- POS CONTACTLESS CHIP -  VAUCHER N° 0005767 -  OP: 087395</v>
      </c>
      <c r="D89" s="13">
        <f>+YLV!M87</f>
        <v>52.5</v>
      </c>
      <c r="E89" s="11"/>
      <c r="F89" s="4" t="str">
        <f>+YLV!C87</f>
        <v>005042111</v>
      </c>
      <c r="G89" s="14" t="str">
        <f>+YLV!A87</f>
        <v>2111-087395</v>
      </c>
      <c r="H89" s="4" t="str">
        <f>+YLV!H87</f>
        <v>17:08:23</v>
      </c>
      <c r="I89" s="4" t="str">
        <f>+YLV!R87</f>
        <v>0808</v>
      </c>
      <c r="J89" s="11"/>
      <c r="K89" s="4" t="str">
        <f t="shared" si="2"/>
        <v>2111-087395</v>
      </c>
      <c r="L89" s="4" t="str">
        <f t="shared" si="3"/>
        <v>2111-087395 -SERIE: CD8S9119- POS CONTACTLESS CHIP -  VAUCHER N° 0005767 -  OP: 087395</v>
      </c>
      <c r="M89" s="5"/>
    </row>
    <row r="90" spans="2:13" x14ac:dyDescent="0.25">
      <c r="B90" s="12" t="str">
        <f>+YLV!G88</f>
        <v>22/01/2026</v>
      </c>
      <c r="C90" s="4" t="str">
        <f>+YLV!B88</f>
        <v>SERIE: CD8S9119- POS CONTACTLESS CHIP -  VAUCHER N° 0005765 -  OP: 884512</v>
      </c>
      <c r="D90" s="13">
        <f>+YLV!M88</f>
        <v>52.5</v>
      </c>
      <c r="E90" s="11"/>
      <c r="F90" s="4" t="str">
        <f>+YLV!C88</f>
        <v>005042111</v>
      </c>
      <c r="G90" s="14" t="str">
        <f>+YLV!A88</f>
        <v>2111-884512</v>
      </c>
      <c r="H90" s="4" t="str">
        <f>+YLV!H88</f>
        <v>17:00:24</v>
      </c>
      <c r="I90" s="4" t="str">
        <f>+YLV!R88</f>
        <v>0808</v>
      </c>
      <c r="J90" s="11"/>
      <c r="K90" s="4" t="str">
        <f t="shared" si="2"/>
        <v>2111-884512</v>
      </c>
      <c r="L90" s="4" t="str">
        <f t="shared" si="3"/>
        <v>2111-884512 -SERIE: CD8S9119- POS CONTACTLESS CHIP -  VAUCHER N° 0005765 -  OP: 884512</v>
      </c>
      <c r="M90" s="5"/>
    </row>
    <row r="91" spans="2:13" x14ac:dyDescent="0.25">
      <c r="B91" s="12" t="str">
        <f>+YLV!G89</f>
        <v>22/01/2026</v>
      </c>
      <c r="C91" s="4" t="str">
        <f>+YLV!B89</f>
        <v>SERIE: PAYZEN- E-COMMERCE -  VAUCHER N° 2291547 -  OP: T05983</v>
      </c>
      <c r="D91" s="13">
        <f>+YLV!M89</f>
        <v>108</v>
      </c>
      <c r="E91" s="11"/>
      <c r="F91" s="4" t="str">
        <f>+YLV!C89</f>
        <v>005042111</v>
      </c>
      <c r="G91" s="14" t="str">
        <f>+YLV!A89</f>
        <v>2111-T05983</v>
      </c>
      <c r="H91" s="4" t="str">
        <f>+YLV!H89</f>
        <v>14:23:48</v>
      </c>
      <c r="I91" s="4">
        <f>+YLV!R89</f>
        <v>0</v>
      </c>
      <c r="J91" s="11"/>
      <c r="K91" s="4" t="str">
        <f t="shared" si="2"/>
        <v>2111-T05983</v>
      </c>
      <c r="L91" s="4" t="str">
        <f t="shared" si="3"/>
        <v>2111-T05983 -SERIE: PAYZEN- E-COMMERCE -  VAUCHER N° 2291547 -  OP: T05983</v>
      </c>
      <c r="M91" s="5"/>
    </row>
    <row r="92" spans="2:13" x14ac:dyDescent="0.25">
      <c r="B92" s="12" t="str">
        <f>+YLV!G90</f>
        <v>22/01/2026</v>
      </c>
      <c r="C92" s="4" t="str">
        <f>+YLV!B90</f>
        <v>SERIE: PAYZEN- POS VIRTUAL -  VAUCHER N° 2471498 -  OP: 533957</v>
      </c>
      <c r="D92" s="13">
        <f>+YLV!M90</f>
        <v>245</v>
      </c>
      <c r="E92" s="11"/>
      <c r="F92" s="4" t="str">
        <f>+YLV!C90</f>
        <v>005042111</v>
      </c>
      <c r="G92" s="14" t="str">
        <f>+YLV!A90</f>
        <v>2111-533957</v>
      </c>
      <c r="H92" s="4" t="str">
        <f>+YLV!H90</f>
        <v>09:53:30</v>
      </c>
      <c r="I92" s="4">
        <f>+YLV!R90</f>
        <v>0</v>
      </c>
      <c r="J92" s="11"/>
      <c r="K92" s="4" t="str">
        <f t="shared" si="2"/>
        <v>2111-533957</v>
      </c>
      <c r="L92" s="4" t="str">
        <f t="shared" si="3"/>
        <v>2111-533957 -SERIE: PAYZEN- POS VIRTUAL -  VAUCHER N° 2471498 -  OP: 533957</v>
      </c>
      <c r="M92" s="5"/>
    </row>
    <row r="93" spans="2:13" x14ac:dyDescent="0.25">
      <c r="B93" s="12" t="str">
        <f>+YLV!G91</f>
        <v>22/01/2026</v>
      </c>
      <c r="C93" s="4" t="str">
        <f>+YLV!B91</f>
        <v>SERIE: MPP001LL3- POS QR -  VAUCHER N° 5020166 -  OP: 190500</v>
      </c>
      <c r="D93" s="13">
        <f>+YLV!M91</f>
        <v>40</v>
      </c>
      <c r="E93" s="11"/>
      <c r="F93" s="4" t="str">
        <f>+YLV!C91</f>
        <v>005042111</v>
      </c>
      <c r="G93" s="14" t="str">
        <f>+YLV!A91</f>
        <v>2111-190500</v>
      </c>
      <c r="H93" s="4" t="str">
        <f>+YLV!H91</f>
        <v>15:25:28</v>
      </c>
      <c r="I93" s="4" t="str">
        <f>+YLV!R91</f>
        <v>0808</v>
      </c>
      <c r="J93" s="11"/>
      <c r="K93" s="4" t="str">
        <f t="shared" si="2"/>
        <v>2111-190500</v>
      </c>
      <c r="L93" s="4" t="str">
        <f t="shared" si="3"/>
        <v>2111-190500 -SERIE: MPP001LL3- POS QR -  VAUCHER N° 5020166 -  OP: 190500</v>
      </c>
      <c r="M93" s="5"/>
    </row>
    <row r="94" spans="2:13" x14ac:dyDescent="0.25">
      <c r="B94" s="12" t="str">
        <f>+YLV!G92</f>
        <v>22/01/2026</v>
      </c>
      <c r="C94" s="4" t="str">
        <f>+YLV!B92</f>
        <v>SERIE: MPP001LL3- POS QR -  VAUCHER N° 4047877 -  OP: 179021</v>
      </c>
      <c r="D94" s="13">
        <f>+YLV!M92</f>
        <v>315</v>
      </c>
      <c r="E94" s="11"/>
      <c r="F94" s="4" t="str">
        <f>+YLV!C92</f>
        <v>005042111</v>
      </c>
      <c r="G94" s="14" t="str">
        <f>+YLV!A92</f>
        <v>2111-179021</v>
      </c>
      <c r="H94" s="4" t="str">
        <f>+YLV!H92</f>
        <v>14:55:42</v>
      </c>
      <c r="I94" s="4" t="str">
        <f>+YLV!R92</f>
        <v>0808</v>
      </c>
      <c r="J94" s="11"/>
      <c r="K94" s="4" t="str">
        <f t="shared" si="2"/>
        <v>2111-179021</v>
      </c>
      <c r="L94" s="4" t="str">
        <f t="shared" si="3"/>
        <v>2111-179021 -SERIE: MPP001LL3- POS QR -  VAUCHER N° 4047877 -  OP: 179021</v>
      </c>
      <c r="M94" s="5"/>
    </row>
    <row r="95" spans="2:13" x14ac:dyDescent="0.25">
      <c r="B95" s="12" t="str">
        <f>+YLV!G93</f>
        <v>22/01/2026</v>
      </c>
      <c r="C95" s="4" t="str">
        <f>+YLV!B93</f>
        <v>SERIE: MPP001LL3- POS QR -  VAUCHER N° 2005426 -  OP: 104298</v>
      </c>
      <c r="D95" s="13">
        <f>+YLV!M93</f>
        <v>120</v>
      </c>
      <c r="E95" s="11"/>
      <c r="F95" s="4" t="str">
        <f>+YLV!C93</f>
        <v>005042111</v>
      </c>
      <c r="G95" s="14" t="str">
        <f>+YLV!A93</f>
        <v>2111-104298</v>
      </c>
      <c r="H95" s="4" t="str">
        <f>+YLV!H93</f>
        <v>12:06:30</v>
      </c>
      <c r="I95" s="4" t="str">
        <f>+YLV!R93</f>
        <v>0808</v>
      </c>
      <c r="J95" s="11"/>
      <c r="K95" s="4" t="str">
        <f t="shared" si="2"/>
        <v>2111-104298</v>
      </c>
      <c r="L95" s="4" t="str">
        <f t="shared" si="3"/>
        <v>2111-104298 -SERIE: MPP001LL3- POS QR -  VAUCHER N° 2005426 -  OP: 104298</v>
      </c>
      <c r="M95" s="5"/>
    </row>
    <row r="96" spans="2:13" x14ac:dyDescent="0.25">
      <c r="B96" s="12" t="str">
        <f>+YLV!G94</f>
        <v>22/01/2026</v>
      </c>
      <c r="C96" s="4" t="str">
        <f>+YLV!B94</f>
        <v>SERIE: MPP001LL3- POS QR -  VAUCHER N° 6012660 -  OP: 210085</v>
      </c>
      <c r="D96" s="13">
        <f>+YLV!M94</f>
        <v>65</v>
      </c>
      <c r="E96" s="11"/>
      <c r="F96" s="4" t="str">
        <f>+YLV!C94</f>
        <v>005042111</v>
      </c>
      <c r="G96" s="14" t="str">
        <f>+YLV!A94</f>
        <v>2111-210085</v>
      </c>
      <c r="H96" s="4" t="str">
        <f>+YLV!H94</f>
        <v>16:15:35</v>
      </c>
      <c r="I96" s="4" t="str">
        <f>+YLV!R94</f>
        <v>0808</v>
      </c>
      <c r="J96" s="11"/>
      <c r="K96" s="4" t="str">
        <f t="shared" si="2"/>
        <v>2111-210085</v>
      </c>
      <c r="L96" s="4" t="str">
        <f t="shared" si="3"/>
        <v>2111-210085 -SERIE: MPP001LL3- POS QR -  VAUCHER N° 6012660 -  OP: 210085</v>
      </c>
      <c r="M96" s="5"/>
    </row>
    <row r="97" spans="2:13" x14ac:dyDescent="0.25">
      <c r="B97" s="12" t="str">
        <f>+YLV!G95</f>
        <v>22/01/2026</v>
      </c>
      <c r="C97" s="4" t="str">
        <f>+YLV!B95</f>
        <v>SERIE: MPP001LL3- POS QR -  VAUCHER N° 2008685 -  OP: 105869</v>
      </c>
      <c r="D97" s="13">
        <f>+YLV!M95</f>
        <v>87</v>
      </c>
      <c r="E97" s="11"/>
      <c r="F97" s="4" t="str">
        <f>+YLV!C95</f>
        <v>005042111</v>
      </c>
      <c r="G97" s="14" t="str">
        <f>+YLV!A95</f>
        <v>2111-105869</v>
      </c>
      <c r="H97" s="4" t="str">
        <f>+YLV!H95</f>
        <v>12:10:11</v>
      </c>
      <c r="I97" s="4" t="str">
        <f>+YLV!R95</f>
        <v>0808</v>
      </c>
      <c r="J97" s="11"/>
      <c r="K97" s="4" t="str">
        <f t="shared" si="2"/>
        <v>2111-105869</v>
      </c>
      <c r="L97" s="4" t="str">
        <f t="shared" si="3"/>
        <v>2111-105869 -SERIE: MPP001LL3- POS QR -  VAUCHER N° 2008685 -  OP: 105869</v>
      </c>
      <c r="M97" s="5"/>
    </row>
    <row r="98" spans="2:13" x14ac:dyDescent="0.25">
      <c r="B98" s="12" t="str">
        <f>+YLV!G96</f>
        <v>22/01/2026</v>
      </c>
      <c r="C98" s="4" t="str">
        <f>+YLV!B96</f>
        <v>SERIE: MPP001LL3- POS QR -  VAUCHER N° 7036790 -  OP: 246376</v>
      </c>
      <c r="D98" s="13">
        <f>+YLV!M96</f>
        <v>40</v>
      </c>
      <c r="E98" s="11"/>
      <c r="F98" s="4" t="str">
        <f>+YLV!C96</f>
        <v>005042111</v>
      </c>
      <c r="G98" s="14" t="str">
        <f>+YLV!A96</f>
        <v>2111-246376</v>
      </c>
      <c r="H98" s="4" t="str">
        <f>+YLV!H96</f>
        <v>17:38:50</v>
      </c>
      <c r="I98" s="4" t="str">
        <f>+YLV!R96</f>
        <v>0808</v>
      </c>
      <c r="J98" s="11"/>
      <c r="K98" s="4" t="str">
        <f t="shared" si="2"/>
        <v>2111-246376</v>
      </c>
      <c r="L98" s="4" t="str">
        <f t="shared" si="3"/>
        <v>2111-246376 -SERIE: MPP001LL3- POS QR -  VAUCHER N° 7036790 -  OP: 246376</v>
      </c>
      <c r="M98" s="5"/>
    </row>
    <row r="99" spans="2:13" x14ac:dyDescent="0.25">
      <c r="B99" s="12" t="str">
        <f>+YLV!G97</f>
        <v>22/01/2026</v>
      </c>
      <c r="C99" s="4" t="str">
        <f>+YLV!B97</f>
        <v>SERIE: MPP001LL3- POS QR -  VAUCHER N° 2040688 -  OP: 121494</v>
      </c>
      <c r="D99" s="13">
        <f>+YLV!M97</f>
        <v>40</v>
      </c>
      <c r="E99" s="11"/>
      <c r="F99" s="4" t="str">
        <f>+YLV!C97</f>
        <v>005042111</v>
      </c>
      <c r="G99" s="14" t="str">
        <f>+YLV!A97</f>
        <v>2111-121494</v>
      </c>
      <c r="H99" s="4" t="str">
        <f>+YLV!H97</f>
        <v>12:47:16</v>
      </c>
      <c r="I99" s="4" t="str">
        <f>+YLV!R97</f>
        <v>0808</v>
      </c>
      <c r="J99" s="11"/>
      <c r="K99" s="4" t="str">
        <f t="shared" si="2"/>
        <v>2111-121494</v>
      </c>
      <c r="L99" s="4" t="str">
        <f t="shared" si="3"/>
        <v>2111-121494 -SERIE: MPP001LL3- POS QR -  VAUCHER N° 2040688 -  OP: 121494</v>
      </c>
      <c r="M99" s="5"/>
    </row>
    <row r="100" spans="2:13" x14ac:dyDescent="0.25">
      <c r="B100" s="12" t="str">
        <f>+YLV!G98</f>
        <v>22/01/2026</v>
      </c>
      <c r="C100" s="4" t="str">
        <f>+YLV!B98</f>
        <v>SERIE: MPP001LL3- POS QR -  VAUCHER N° 2019724 -  OP: 111272</v>
      </c>
      <c r="D100" s="13">
        <f>+YLV!M98</f>
        <v>45</v>
      </c>
      <c r="E100" s="11"/>
      <c r="F100" s="4" t="str">
        <f>+YLV!C98</f>
        <v>005042111</v>
      </c>
      <c r="G100" s="14" t="str">
        <f>+YLV!A98</f>
        <v>2111-111272</v>
      </c>
      <c r="H100" s="4" t="str">
        <f>+YLV!H98</f>
        <v>12:23:10</v>
      </c>
      <c r="I100" s="4" t="str">
        <f>+YLV!R98</f>
        <v>0808</v>
      </c>
      <c r="J100" s="11"/>
      <c r="K100" s="4" t="str">
        <f t="shared" si="2"/>
        <v>2111-111272</v>
      </c>
      <c r="L100" s="4" t="str">
        <f t="shared" si="3"/>
        <v>2111-111272 -SERIE: MPP001LL3- POS QR -  VAUCHER N° 2019724 -  OP: 111272</v>
      </c>
      <c r="M100" s="5"/>
    </row>
    <row r="101" spans="2:13" x14ac:dyDescent="0.25">
      <c r="B101" s="12" t="str">
        <f>+YLV!G99</f>
        <v>23/01/2026</v>
      </c>
      <c r="C101" s="4" t="str">
        <f>+YLV!B99</f>
        <v>SERIE: CD8S9119- POS CONTACTLESS CHIP -  VAUCHER N° 0005786 -  OP: 010402</v>
      </c>
      <c r="D101" s="13">
        <f>+YLV!M99</f>
        <v>140</v>
      </c>
      <c r="E101" s="11"/>
      <c r="F101" s="4" t="str">
        <f>+YLV!C99</f>
        <v>005042111</v>
      </c>
      <c r="G101" s="14" t="str">
        <f>+YLV!A99</f>
        <v>2111-010402</v>
      </c>
      <c r="H101" s="4" t="str">
        <f>+YLV!H99</f>
        <v>15:38:00</v>
      </c>
      <c r="I101" s="4" t="str">
        <f>+YLV!R99</f>
        <v>0809</v>
      </c>
      <c r="J101" s="11"/>
      <c r="K101" s="4" t="str">
        <f t="shared" si="2"/>
        <v>2111-010402</v>
      </c>
      <c r="L101" s="4" t="str">
        <f t="shared" si="3"/>
        <v>2111-010402 -SERIE: CD8S9119- POS CONTACTLESS CHIP -  VAUCHER N° 0005786 -  OP: 010402</v>
      </c>
      <c r="M101" s="5"/>
    </row>
    <row r="102" spans="2:13" x14ac:dyDescent="0.25">
      <c r="B102" s="12" t="str">
        <f>+YLV!G100</f>
        <v>23/01/2026</v>
      </c>
      <c r="C102" s="4" t="str">
        <f>+YLV!B100</f>
        <v>SERIE: MPP001LL3- POS QR -  VAUCHER N° 5004290 -  OP: 188528</v>
      </c>
      <c r="D102" s="13">
        <f>+YLV!M100</f>
        <v>70</v>
      </c>
      <c r="E102" s="11"/>
      <c r="F102" s="4" t="str">
        <f>+YLV!C100</f>
        <v>005042111</v>
      </c>
      <c r="G102" s="14" t="str">
        <f>+YLV!A100</f>
        <v>2111-188528</v>
      </c>
      <c r="H102" s="4" t="str">
        <f>+YLV!H100</f>
        <v>15:05:10</v>
      </c>
      <c r="I102" s="4" t="str">
        <f>+YLV!R100</f>
        <v>0809</v>
      </c>
      <c r="J102" s="11"/>
      <c r="K102" s="4" t="str">
        <f t="shared" si="2"/>
        <v>2111-188528</v>
      </c>
      <c r="L102" s="4" t="str">
        <f t="shared" si="3"/>
        <v>2111-188528 -SERIE: MPP001LL3- POS QR -  VAUCHER N° 5004290 -  OP: 188528</v>
      </c>
      <c r="M102" s="5"/>
    </row>
    <row r="103" spans="2:13" x14ac:dyDescent="0.25">
      <c r="B103" s="12" t="str">
        <f>+YLV!G101</f>
        <v>23/01/2026</v>
      </c>
      <c r="C103" s="4" t="str">
        <f>+YLV!B101</f>
        <v>SERIE: MPP001LL3- POS QR -  VAUCHER N° 7040044 -  OP: 255129</v>
      </c>
      <c r="D103" s="13">
        <f>+YLV!M101</f>
        <v>65</v>
      </c>
      <c r="E103" s="11"/>
      <c r="F103" s="4" t="str">
        <f>+YLV!C101</f>
        <v>005042111</v>
      </c>
      <c r="G103" s="14" t="str">
        <f>+YLV!A101</f>
        <v>2111-255129</v>
      </c>
      <c r="H103" s="4" t="str">
        <f>+YLV!H101</f>
        <v>17:41:58</v>
      </c>
      <c r="I103" s="4" t="str">
        <f>+YLV!R101</f>
        <v>0809</v>
      </c>
      <c r="J103" s="11"/>
      <c r="K103" s="4" t="str">
        <f t="shared" si="2"/>
        <v>2111-255129</v>
      </c>
      <c r="L103" s="4" t="str">
        <f t="shared" si="3"/>
        <v>2111-255129 -SERIE: MPP001LL3- POS QR -  VAUCHER N° 7040044 -  OP: 255129</v>
      </c>
      <c r="M103" s="5"/>
    </row>
    <row r="104" spans="2:13" x14ac:dyDescent="0.25">
      <c r="B104" s="12" t="str">
        <f>+YLV!G102</f>
        <v>23/01/2026</v>
      </c>
      <c r="C104" s="4" t="str">
        <f>+YLV!B102</f>
        <v>SERIE: MPP001LL3- POS QR -  VAUCHER N° 7000565 -  OP: 235901</v>
      </c>
      <c r="D104" s="13">
        <f>+YLV!M102</f>
        <v>105</v>
      </c>
      <c r="E104" s="11"/>
      <c r="F104" s="4" t="str">
        <f>+YLV!C102</f>
        <v>005042111</v>
      </c>
      <c r="G104" s="14" t="str">
        <f>+YLV!A102</f>
        <v>2111-235901</v>
      </c>
      <c r="H104" s="4" t="str">
        <f>+YLV!H102</f>
        <v>17:00:36</v>
      </c>
      <c r="I104" s="4" t="str">
        <f>+YLV!R102</f>
        <v>0809</v>
      </c>
      <c r="J104" s="11"/>
      <c r="K104" s="4" t="str">
        <f t="shared" si="2"/>
        <v>2111-235901</v>
      </c>
      <c r="L104" s="4" t="str">
        <f t="shared" si="3"/>
        <v>2111-235901 -SERIE: MPP001LL3- POS QR -  VAUCHER N° 7000565 -  OP: 235901</v>
      </c>
      <c r="M104" s="5"/>
    </row>
    <row r="105" spans="2:13" x14ac:dyDescent="0.25">
      <c r="B105" s="12" t="str">
        <f>+YLV!G103</f>
        <v>23/01/2026</v>
      </c>
      <c r="C105" s="4" t="str">
        <f>+YLV!B103</f>
        <v>SERIE: MPP001LL3- POS QR -  VAUCHER N° 1001865 -  OP: 083418</v>
      </c>
      <c r="D105" s="13">
        <f>+YLV!M103</f>
        <v>90</v>
      </c>
      <c r="E105" s="11"/>
      <c r="F105" s="4" t="str">
        <f>+YLV!C103</f>
        <v>005042111</v>
      </c>
      <c r="G105" s="14" t="str">
        <f>+YLV!A103</f>
        <v>2111-083418</v>
      </c>
      <c r="H105" s="4" t="str">
        <f>+YLV!H103</f>
        <v>11:02:37</v>
      </c>
      <c r="I105" s="4" t="str">
        <f>+YLV!R103</f>
        <v>0809</v>
      </c>
      <c r="J105" s="11"/>
      <c r="K105" s="4" t="str">
        <f t="shared" si="2"/>
        <v>2111-083418</v>
      </c>
      <c r="L105" s="4" t="str">
        <f t="shared" si="3"/>
        <v>2111-083418 -SERIE: MPP001LL3- POS QR -  VAUCHER N° 1001865 -  OP: 083418</v>
      </c>
      <c r="M105" s="5"/>
    </row>
    <row r="106" spans="2:13" x14ac:dyDescent="0.25">
      <c r="B106" s="12" t="str">
        <f>+YLV!G104</f>
        <v>26/01/2026</v>
      </c>
      <c r="C106" s="4" t="str">
        <f>+YLV!B104</f>
        <v>SERIE: CD8S9119- POS CONTACTLESS CHIP -  VAUCHER N° 0005839 -  OP: 125416</v>
      </c>
      <c r="D106" s="13">
        <f>+YLV!M104</f>
        <v>165</v>
      </c>
      <c r="E106" s="11"/>
      <c r="F106" s="4" t="str">
        <f>+YLV!C104</f>
        <v>005042111</v>
      </c>
      <c r="G106" s="14" t="str">
        <f>+YLV!A104</f>
        <v>2111-125416</v>
      </c>
      <c r="H106" s="4" t="str">
        <f>+YLV!H104</f>
        <v>18:46:45</v>
      </c>
      <c r="I106" s="4" t="str">
        <f>+YLV!R104</f>
        <v>0810</v>
      </c>
      <c r="J106" s="11"/>
      <c r="K106" s="4" t="str">
        <f t="shared" si="2"/>
        <v>2111-125416</v>
      </c>
      <c r="L106" s="4" t="str">
        <f t="shared" si="3"/>
        <v>2111-125416 -SERIE: CD8S9119- POS CONTACTLESS CHIP -  VAUCHER N° 0005839 -  OP: 125416</v>
      </c>
      <c r="M106" s="5"/>
    </row>
    <row r="107" spans="2:13" x14ac:dyDescent="0.25">
      <c r="B107" s="12" t="str">
        <f>+YLV!G105</f>
        <v>26/01/2026</v>
      </c>
      <c r="C107" s="4" t="str">
        <f>+YLV!B105</f>
        <v>SERIE: CD8S9119- POS CONTACTLESS CHIP -  VAUCHER N° 0005828 -  OP: 309271</v>
      </c>
      <c r="D107" s="13">
        <f>+YLV!M105</f>
        <v>35</v>
      </c>
      <c r="E107" s="11"/>
      <c r="F107" s="4" t="str">
        <f>+YLV!C105</f>
        <v>005042111</v>
      </c>
      <c r="G107" s="14" t="str">
        <f>+YLV!A105</f>
        <v>2111-309271</v>
      </c>
      <c r="H107" s="4" t="str">
        <f>+YLV!H105</f>
        <v>17:15:49</v>
      </c>
      <c r="I107" s="4" t="str">
        <f>+YLV!R105</f>
        <v>0810</v>
      </c>
      <c r="J107" s="11"/>
      <c r="K107" s="4" t="str">
        <f t="shared" si="2"/>
        <v>2111-309271</v>
      </c>
      <c r="L107" s="4" t="str">
        <f t="shared" si="3"/>
        <v>2111-309271 -SERIE: CD8S9119- POS CONTACTLESS CHIP -  VAUCHER N° 0005828 -  OP: 309271</v>
      </c>
      <c r="M107" s="5"/>
    </row>
    <row r="108" spans="2:13" x14ac:dyDescent="0.25">
      <c r="B108" s="12" t="str">
        <f>+YLV!G106</f>
        <v>26/01/2026</v>
      </c>
      <c r="C108" s="4" t="str">
        <f>+YLV!B106</f>
        <v>SERIE: CD8S9119- POS CONTACTLESS CHIP -  VAUCHER N° 0005819 -  OP: 954960</v>
      </c>
      <c r="D108" s="13">
        <f>+YLV!M106</f>
        <v>40</v>
      </c>
      <c r="E108" s="11"/>
      <c r="F108" s="4" t="str">
        <f>+YLV!C106</f>
        <v>005042111</v>
      </c>
      <c r="G108" s="14" t="str">
        <f>+YLV!A106</f>
        <v>2111-954960</v>
      </c>
      <c r="H108" s="4" t="str">
        <f>+YLV!H106</f>
        <v>16:42:27</v>
      </c>
      <c r="I108" s="4" t="str">
        <f>+YLV!R106</f>
        <v>0810</v>
      </c>
      <c r="J108" s="11"/>
      <c r="K108" s="4" t="str">
        <f t="shared" si="2"/>
        <v>2111-954960</v>
      </c>
      <c r="L108" s="4" t="str">
        <f t="shared" si="3"/>
        <v>2111-954960 -SERIE: CD8S9119- POS CONTACTLESS CHIP -  VAUCHER N° 0005819 -  OP: 954960</v>
      </c>
      <c r="M108" s="5"/>
    </row>
    <row r="109" spans="2:13" x14ac:dyDescent="0.25">
      <c r="B109" s="12" t="str">
        <f>+YLV!G107</f>
        <v>26/01/2026</v>
      </c>
      <c r="C109" s="4" t="str">
        <f>+YLV!B107</f>
        <v>SERIE: CD8S9119- POS CONTACTLESS CHIP -  VAUCHER N° 0005817 -  OP: 257247</v>
      </c>
      <c r="D109" s="13">
        <f>+YLV!M107</f>
        <v>40</v>
      </c>
      <c r="E109" s="11"/>
      <c r="F109" s="4" t="str">
        <f>+YLV!C107</f>
        <v>005042111</v>
      </c>
      <c r="G109" s="14" t="str">
        <f>+YLV!A107</f>
        <v>2111-257247</v>
      </c>
      <c r="H109" s="4" t="str">
        <f>+YLV!H107</f>
        <v>16:39:21</v>
      </c>
      <c r="I109" s="4" t="str">
        <f>+YLV!R107</f>
        <v>0810</v>
      </c>
      <c r="J109" s="11"/>
      <c r="K109" s="4" t="str">
        <f t="shared" si="2"/>
        <v>2111-257247</v>
      </c>
      <c r="L109" s="4" t="str">
        <f t="shared" si="3"/>
        <v>2111-257247 -SERIE: CD8S9119- POS CONTACTLESS CHIP -  VAUCHER N° 0005817 -  OP: 257247</v>
      </c>
      <c r="M109" s="5"/>
    </row>
    <row r="110" spans="2:13" x14ac:dyDescent="0.25">
      <c r="B110" s="12" t="str">
        <f>+YLV!G108</f>
        <v>26/01/2026</v>
      </c>
      <c r="C110" s="4" t="str">
        <f>+YLV!B108</f>
        <v>SERIE: CD8S9119- POS CONTACTLESS CHIP -  VAUCHER N° 0005815 -  OP: 942511</v>
      </c>
      <c r="D110" s="13">
        <f>+YLV!M108</f>
        <v>40</v>
      </c>
      <c r="E110" s="11"/>
      <c r="F110" s="4" t="str">
        <f>+YLV!C108</f>
        <v>005042111</v>
      </c>
      <c r="G110" s="14" t="str">
        <f>+YLV!A108</f>
        <v>2111-942511</v>
      </c>
      <c r="H110" s="4" t="str">
        <f>+YLV!H108</f>
        <v>16:33:29</v>
      </c>
      <c r="I110" s="4" t="str">
        <f>+YLV!R108</f>
        <v>0810</v>
      </c>
      <c r="J110" s="11"/>
      <c r="K110" s="4" t="str">
        <f t="shared" si="2"/>
        <v>2111-942511</v>
      </c>
      <c r="L110" s="4" t="str">
        <f t="shared" si="3"/>
        <v>2111-942511 -SERIE: CD8S9119- POS CONTACTLESS CHIP -  VAUCHER N° 0005815 -  OP: 942511</v>
      </c>
      <c r="M110" s="5"/>
    </row>
    <row r="111" spans="2:13" x14ac:dyDescent="0.25">
      <c r="B111" s="12" t="str">
        <f>+YLV!G109</f>
        <v>26/01/2026</v>
      </c>
      <c r="C111" s="4" t="str">
        <f>+YLV!B109</f>
        <v>SERIE: CD8S9119- POS CONTACTLESS CHIP -  VAUCHER N° 0005808 -  OP: 062067</v>
      </c>
      <c r="D111" s="13">
        <f>+YLV!M109</f>
        <v>600</v>
      </c>
      <c r="E111" s="11"/>
      <c r="F111" s="4" t="str">
        <f>+YLV!C109</f>
        <v>005042111</v>
      </c>
      <c r="G111" s="14" t="str">
        <f>+YLV!A109</f>
        <v>2111-062067</v>
      </c>
      <c r="H111" s="4" t="str">
        <f>+YLV!H109</f>
        <v>14:18:01</v>
      </c>
      <c r="I111" s="4" t="str">
        <f>+YLV!R109</f>
        <v>0810</v>
      </c>
      <c r="J111" s="11"/>
      <c r="K111" s="4" t="str">
        <f t="shared" si="2"/>
        <v>2111-062067</v>
      </c>
      <c r="L111" s="4" t="str">
        <f t="shared" si="3"/>
        <v>2111-062067 -SERIE: CD8S9119- POS CONTACTLESS CHIP -  VAUCHER N° 0005808 -  OP: 062067</v>
      </c>
      <c r="M111" s="5"/>
    </row>
    <row r="112" spans="2:13" x14ac:dyDescent="0.25">
      <c r="B112" s="12" t="str">
        <f>+YLV!G110</f>
        <v>26/01/2026</v>
      </c>
      <c r="C112" s="4" t="str">
        <f>+YLV!B110</f>
        <v>SERIE: MPP001LL3- POS QR -  VAUCHER N° 7029634 -  OP: 257258</v>
      </c>
      <c r="D112" s="13">
        <f>+YLV!M110</f>
        <v>157.5</v>
      </c>
      <c r="E112" s="11"/>
      <c r="F112" s="4" t="str">
        <f>+YLV!C110</f>
        <v>005042111</v>
      </c>
      <c r="G112" s="14" t="str">
        <f>+YLV!A110</f>
        <v>2111-257258</v>
      </c>
      <c r="H112" s="4" t="str">
        <f>+YLV!H110</f>
        <v>17:30:56</v>
      </c>
      <c r="I112" s="4" t="str">
        <f>+YLV!R110</f>
        <v>0810</v>
      </c>
      <c r="J112" s="11"/>
      <c r="K112" s="4" t="str">
        <f t="shared" si="2"/>
        <v>2111-257258</v>
      </c>
      <c r="L112" s="4" t="str">
        <f t="shared" si="3"/>
        <v>2111-257258 -SERIE: MPP001LL3- POS QR -  VAUCHER N° 7029634 -  OP: 257258</v>
      </c>
      <c r="M112" s="5"/>
    </row>
    <row r="113" spans="2:13" x14ac:dyDescent="0.25">
      <c r="B113" s="12" t="str">
        <f>+YLV!G111</f>
        <v>26/01/2026</v>
      </c>
      <c r="C113" s="4" t="str">
        <f>+YLV!B111</f>
        <v>SERIE: MPP001LL3- POS QR -  VAUCHER N° 2011218 -  OP: 118018</v>
      </c>
      <c r="D113" s="13">
        <f>+YLV!M111</f>
        <v>67.5</v>
      </c>
      <c r="E113" s="11"/>
      <c r="F113" s="4" t="str">
        <f>+YLV!C111</f>
        <v>005042111</v>
      </c>
      <c r="G113" s="14" t="str">
        <f>+YLV!A111</f>
        <v>2111-118018</v>
      </c>
      <c r="H113" s="4" t="str">
        <f>+YLV!H111</f>
        <v>12:12:32</v>
      </c>
      <c r="I113" s="4" t="str">
        <f>+YLV!R111</f>
        <v>0810</v>
      </c>
      <c r="J113" s="11"/>
      <c r="K113" s="4" t="str">
        <f t="shared" si="2"/>
        <v>2111-118018</v>
      </c>
      <c r="L113" s="4" t="str">
        <f t="shared" si="3"/>
        <v>2111-118018 -SERIE: MPP001LL3- POS QR -  VAUCHER N° 2011218 -  OP: 118018</v>
      </c>
      <c r="M113" s="5"/>
    </row>
    <row r="114" spans="2:13" x14ac:dyDescent="0.25">
      <c r="B114" s="12" t="str">
        <f>+YLV!G112</f>
        <v>26/01/2026</v>
      </c>
      <c r="C114" s="4" t="str">
        <f>+YLV!B112</f>
        <v>SERIE: MPP001LL3- POS QR -  VAUCHER N° 7004004 -  OP: 244779</v>
      </c>
      <c r="D114" s="13">
        <f>+YLV!M112</f>
        <v>100</v>
      </c>
      <c r="E114" s="11"/>
      <c r="F114" s="4" t="str">
        <f>+YLV!C112</f>
        <v>005042111</v>
      </c>
      <c r="G114" s="14" t="str">
        <f>+YLV!A112</f>
        <v>2111-244779</v>
      </c>
      <c r="H114" s="4" t="str">
        <f>+YLV!H112</f>
        <v>17:04:19</v>
      </c>
      <c r="I114" s="4" t="str">
        <f>+YLV!R112</f>
        <v>0810</v>
      </c>
      <c r="J114" s="11"/>
      <c r="K114" s="4" t="str">
        <f t="shared" si="2"/>
        <v>2111-244779</v>
      </c>
      <c r="L114" s="4" t="str">
        <f t="shared" si="3"/>
        <v>2111-244779 -SERIE: MPP001LL3- POS QR -  VAUCHER N° 7004004 -  OP: 244779</v>
      </c>
      <c r="M114" s="5"/>
    </row>
    <row r="115" spans="2:13" x14ac:dyDescent="0.25">
      <c r="B115" s="12" t="str">
        <f>+YLV!G113</f>
        <v>26/01/2026</v>
      </c>
      <c r="C115" s="4" t="str">
        <f>+YLV!B113</f>
        <v>SERIE: MPP001LL3- POS QR -  VAUCHER N° 7044694 -  OP: 264576</v>
      </c>
      <c r="D115" s="13">
        <f>+YLV!M113</f>
        <v>120</v>
      </c>
      <c r="E115" s="11"/>
      <c r="F115" s="4" t="str">
        <f>+YLV!C113</f>
        <v>005042111</v>
      </c>
      <c r="G115" s="14" t="str">
        <f>+YLV!A113</f>
        <v>2111-264576</v>
      </c>
      <c r="H115" s="4" t="str">
        <f>+YLV!H113</f>
        <v>17:46:02</v>
      </c>
      <c r="I115" s="4" t="str">
        <f>+YLV!R113</f>
        <v>0810</v>
      </c>
      <c r="J115" s="11"/>
      <c r="K115" s="4" t="str">
        <f t="shared" si="2"/>
        <v>2111-264576</v>
      </c>
      <c r="L115" s="4" t="str">
        <f t="shared" si="3"/>
        <v>2111-264576 -SERIE: MPP001LL3- POS QR -  VAUCHER N° 7044694 -  OP: 264576</v>
      </c>
      <c r="M115" s="5"/>
    </row>
    <row r="116" spans="2:13" x14ac:dyDescent="0.25">
      <c r="B116" s="12" t="str">
        <f>+YLV!G114</f>
        <v>26/01/2026</v>
      </c>
      <c r="C116" s="4" t="str">
        <f>+YLV!B114</f>
        <v>SERIE: MPP001LL3- POS QR -  VAUCHER N° 7017947 -  OP: 251553</v>
      </c>
      <c r="D116" s="13">
        <f>+YLV!M114</f>
        <v>35</v>
      </c>
      <c r="E116" s="11"/>
      <c r="F116" s="4" t="str">
        <f>+YLV!C114</f>
        <v>005042111</v>
      </c>
      <c r="G116" s="14" t="str">
        <f>+YLV!A114</f>
        <v>2111-251553</v>
      </c>
      <c r="H116" s="4" t="str">
        <f>+YLV!H114</f>
        <v>17:19:04</v>
      </c>
      <c r="I116" s="4" t="str">
        <f>+YLV!R114</f>
        <v>0810</v>
      </c>
      <c r="J116" s="11"/>
      <c r="K116" s="4" t="str">
        <f t="shared" si="2"/>
        <v>2111-251553</v>
      </c>
      <c r="L116" s="4" t="str">
        <f t="shared" si="3"/>
        <v>2111-251553 -SERIE: MPP001LL3- POS QR -  VAUCHER N° 7017947 -  OP: 251553</v>
      </c>
      <c r="M116" s="5"/>
    </row>
    <row r="117" spans="2:13" x14ac:dyDescent="0.25">
      <c r="B117" s="12" t="str">
        <f>+YLV!G115</f>
        <v>26/01/2026</v>
      </c>
      <c r="C117" s="4" t="str">
        <f>+YLV!B115</f>
        <v>SERIE: MPP001LL3- POS QR -  VAUCHER N° 6002851 -  OP: 219370</v>
      </c>
      <c r="D117" s="13">
        <f>+YLV!M115</f>
        <v>108</v>
      </c>
      <c r="E117" s="11"/>
      <c r="F117" s="4" t="str">
        <f>+YLV!C115</f>
        <v>005042111</v>
      </c>
      <c r="G117" s="14" t="str">
        <f>+YLV!A115</f>
        <v>2111-219370</v>
      </c>
      <c r="H117" s="4" t="str">
        <f>+YLV!H115</f>
        <v>16:03:34</v>
      </c>
      <c r="I117" s="4" t="str">
        <f>+YLV!R115</f>
        <v>0810</v>
      </c>
      <c r="J117" s="11"/>
      <c r="K117" s="4" t="str">
        <f t="shared" si="2"/>
        <v>2111-219370</v>
      </c>
      <c r="L117" s="4" t="str">
        <f t="shared" si="3"/>
        <v>2111-219370 -SERIE: MPP001LL3- POS QR -  VAUCHER N° 6002851 -  OP: 219370</v>
      </c>
      <c r="M117" s="5"/>
    </row>
    <row r="118" spans="2:13" x14ac:dyDescent="0.25">
      <c r="B118" s="12" t="str">
        <f>+YLV!G116</f>
        <v>26/01/2026</v>
      </c>
      <c r="C118" s="4" t="str">
        <f>+YLV!B116</f>
        <v>SERIE: MPP001LL3- POS QR -  VAUCHER N° 6038888 -  OP: 236816</v>
      </c>
      <c r="D118" s="13">
        <f>+YLV!M116</f>
        <v>40</v>
      </c>
      <c r="F118" s="4" t="str">
        <f>+YLV!C116</f>
        <v>005042111</v>
      </c>
      <c r="G118" s="14" t="str">
        <f>+YLV!A116</f>
        <v>2111-236816</v>
      </c>
      <c r="H118" s="4" t="str">
        <f>+YLV!H116</f>
        <v>16:46:07</v>
      </c>
      <c r="I118" s="4" t="str">
        <f>+YLV!R116</f>
        <v>0810</v>
      </c>
      <c r="K118" s="4" t="str">
        <f t="shared" si="2"/>
        <v>2111-236816</v>
      </c>
      <c r="L118" s="4" t="str">
        <f t="shared" si="3"/>
        <v>2111-236816 -SERIE: MPP001LL3- POS QR -  VAUCHER N° 6038888 -  OP: 236816</v>
      </c>
    </row>
    <row r="119" spans="2:13" x14ac:dyDescent="0.25">
      <c r="B119" s="12" t="str">
        <f>+YLV!G117</f>
        <v>27/01/2026</v>
      </c>
      <c r="C119" s="4" t="str">
        <f>+YLV!B117</f>
        <v>SERIE: MPP001LL3- POS QR -  VAUCHER N° 7054664 -  OP: 257089</v>
      </c>
      <c r="D119" s="13">
        <f>+YLV!M117</f>
        <v>285</v>
      </c>
      <c r="F119" s="4" t="str">
        <f>+YLV!C117</f>
        <v>005042111</v>
      </c>
      <c r="G119" s="14" t="str">
        <f>+YLV!A117</f>
        <v>2111-257089</v>
      </c>
      <c r="H119" s="4" t="str">
        <f>+YLV!H117</f>
        <v>17:58:00</v>
      </c>
      <c r="I119" s="4" t="str">
        <f>+YLV!R117</f>
        <v>0811</v>
      </c>
      <c r="K119" s="4" t="str">
        <f t="shared" si="2"/>
        <v>2111-257089</v>
      </c>
      <c r="L119" s="4" t="str">
        <f t="shared" si="3"/>
        <v>2111-257089 -SERIE: MPP001LL3- POS QR -  VAUCHER N° 7054664 -  OP: 257089</v>
      </c>
    </row>
    <row r="120" spans="2:13" x14ac:dyDescent="0.25">
      <c r="B120" s="12" t="str">
        <f>+YLV!G118</f>
        <v>27/01/2026</v>
      </c>
      <c r="C120" s="4" t="str">
        <f>+YLV!B118</f>
        <v>SERIE: MPP001LL3- POS QR -  VAUCHER N° 8051175 -  OP: 283129</v>
      </c>
      <c r="D120" s="13">
        <f>+YLV!M118</f>
        <v>105</v>
      </c>
      <c r="F120" s="4" t="str">
        <f>+YLV!C118</f>
        <v>005042111</v>
      </c>
      <c r="G120" s="14" t="str">
        <f>+YLV!A118</f>
        <v>2111-283129</v>
      </c>
      <c r="H120" s="4" t="str">
        <f>+YLV!H118</f>
        <v>18:46:50</v>
      </c>
      <c r="I120" s="4" t="str">
        <f>+YLV!R118</f>
        <v>0811</v>
      </c>
      <c r="K120" s="4" t="str">
        <f t="shared" si="2"/>
        <v>2111-283129</v>
      </c>
      <c r="L120" s="4" t="str">
        <f t="shared" si="3"/>
        <v>2111-283129 -SERIE: MPP001LL3- POS QR -  VAUCHER N° 8051175 -  OP: 283129</v>
      </c>
    </row>
    <row r="121" spans="2:13" x14ac:dyDescent="0.25">
      <c r="B121" s="12" t="str">
        <f>+YLV!G119</f>
        <v>27/01/2026</v>
      </c>
      <c r="C121" s="4" t="str">
        <f>+YLV!B119</f>
        <v>SERIE: CD8S9119- POS CONTACTLESS CHIP -  VAUCHER N° 0005857 -  OP: 773710</v>
      </c>
      <c r="D121" s="13">
        <f>+YLV!M119</f>
        <v>193</v>
      </c>
      <c r="F121" s="4" t="str">
        <f>+YLV!C119</f>
        <v>005042111</v>
      </c>
      <c r="G121" s="14" t="str">
        <f>+YLV!A119</f>
        <v>2111-773710</v>
      </c>
      <c r="H121" s="4" t="str">
        <f>+YLV!H119</f>
        <v>18:05:37</v>
      </c>
      <c r="I121" s="4" t="str">
        <f>+YLV!R119</f>
        <v>0811</v>
      </c>
      <c r="K121" s="4" t="str">
        <f t="shared" si="2"/>
        <v>2111-773710</v>
      </c>
      <c r="L121" s="4" t="str">
        <f t="shared" si="3"/>
        <v>2111-773710 -SERIE: CD8S9119- POS CONTACTLESS CHIP -  VAUCHER N° 0005857 -  OP: 773710</v>
      </c>
    </row>
    <row r="122" spans="2:13" x14ac:dyDescent="0.25">
      <c r="B122" s="12" t="str">
        <f>+YLV!G120</f>
        <v>27/01/2026</v>
      </c>
      <c r="C122" s="4" t="str">
        <f>+YLV!B120</f>
        <v>SERIE: CD8S9119- POS CONTACTLESS CHIP -  VAUCHER N° 0005852 -  OP: 003478</v>
      </c>
      <c r="D122" s="13">
        <f>+YLV!M120</f>
        <v>20</v>
      </c>
      <c r="F122" s="4" t="str">
        <f>+YLV!C120</f>
        <v>005042111</v>
      </c>
      <c r="G122" s="14" t="str">
        <f>+YLV!A120</f>
        <v>2111-003478</v>
      </c>
      <c r="H122" s="4" t="str">
        <f>+YLV!H120</f>
        <v>16:01:49</v>
      </c>
      <c r="I122" s="4" t="str">
        <f>+YLV!R120</f>
        <v>0811</v>
      </c>
      <c r="K122" s="4" t="str">
        <f t="shared" si="2"/>
        <v>2111-003478</v>
      </c>
      <c r="L122" s="4" t="str">
        <f t="shared" si="3"/>
        <v>2111-003478 -SERIE: CD8S9119- POS CONTACTLESS CHIP -  VAUCHER N° 0005852 -  OP: 003478</v>
      </c>
    </row>
    <row r="123" spans="2:13" x14ac:dyDescent="0.25">
      <c r="B123" s="12" t="str">
        <f>+YLV!G121</f>
        <v>27/01/2026</v>
      </c>
      <c r="C123" s="4" t="str">
        <f>+YLV!B121</f>
        <v>SERIE: PAYZEN- E-COMMERCE -  VAUCHER N° 7617878 -  OP: 501955</v>
      </c>
      <c r="D123" s="13">
        <f>+YLV!M121</f>
        <v>96.15</v>
      </c>
      <c r="F123" s="4" t="str">
        <f>+YLV!C121</f>
        <v>005042111</v>
      </c>
      <c r="G123" s="14" t="str">
        <f>+YLV!A121</f>
        <v>2111-501955</v>
      </c>
      <c r="H123" s="4" t="str">
        <f>+YLV!H121</f>
        <v>16:50:12</v>
      </c>
      <c r="I123" s="4">
        <f>+YLV!R121</f>
        <v>0</v>
      </c>
      <c r="K123" s="4" t="str">
        <f t="shared" si="2"/>
        <v>2111-501955</v>
      </c>
      <c r="L123" s="4" t="str">
        <f t="shared" si="3"/>
        <v>2111-501955 -SERIE: PAYZEN- E-COMMERCE -  VAUCHER N° 7617878 -  OP: 501955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F1171-3E11-49ED-A2F9-994348CADA68}">
  <dimension ref="A1:AA149"/>
  <sheetViews>
    <sheetView showGridLines="0" workbookViewId="0">
      <pane xSplit="1" ySplit="1" topLeftCell="B121" activePane="bottomRight" state="frozen"/>
      <selection pane="topRight" activeCell="B1" sqref="B1"/>
      <selection pane="bottomLeft" activeCell="A2" sqref="A2"/>
      <selection pane="bottomRight" activeCell="B131" sqref="B131"/>
    </sheetView>
  </sheetViews>
  <sheetFormatPr baseColWidth="10" defaultRowHeight="15" x14ac:dyDescent="0.25"/>
  <cols>
    <col min="1" max="1" width="11.7109375" bestFit="1" customWidth="1"/>
    <col min="2" max="2" width="70" bestFit="1" customWidth="1"/>
    <col min="3" max="3" width="10" bestFit="1" customWidth="1"/>
    <col min="4" max="4" width="20.85546875" bestFit="1" customWidth="1"/>
    <col min="5" max="5" width="22.140625" bestFit="1" customWidth="1"/>
    <col min="6" max="6" width="13.85546875" bestFit="1" customWidth="1"/>
    <col min="7" max="7" width="23" bestFit="1" customWidth="1"/>
    <col min="8" max="8" width="22.42578125" bestFit="1" customWidth="1"/>
    <col min="9" max="9" width="23.5703125" bestFit="1" customWidth="1"/>
    <col min="10" max="10" width="18.28515625" bestFit="1" customWidth="1"/>
    <col min="11" max="11" width="16.7109375" bestFit="1" customWidth="1"/>
    <col min="12" max="12" width="10.140625" bestFit="1" customWidth="1"/>
    <col min="13" max="13" width="9.140625" bestFit="1" customWidth="1"/>
    <col min="14" max="14" width="10.42578125" bestFit="1" customWidth="1"/>
    <col min="15" max="15" width="5.5703125" bestFit="1" customWidth="1"/>
    <col min="16" max="16" width="14.42578125" bestFit="1" customWidth="1"/>
    <col min="17" max="17" width="16.140625" bestFit="1" customWidth="1"/>
    <col min="18" max="18" width="13.140625" bestFit="1" customWidth="1"/>
    <col min="19" max="19" width="10.140625" bestFit="1" customWidth="1"/>
    <col min="20" max="20" width="22.85546875" bestFit="1" customWidth="1"/>
    <col min="21" max="21" width="18.5703125" bestFit="1" customWidth="1"/>
    <col min="22" max="22" width="17.140625" bestFit="1" customWidth="1"/>
    <col min="23" max="23" width="25.42578125" bestFit="1" customWidth="1"/>
    <col min="24" max="24" width="8.28515625" bestFit="1" customWidth="1"/>
    <col min="25" max="25" width="15.85546875" bestFit="1" customWidth="1"/>
    <col min="26" max="26" width="9.28515625" bestFit="1" customWidth="1"/>
    <col min="27" max="27" width="15.28515625" bestFit="1" customWidth="1"/>
  </cols>
  <sheetData>
    <row r="1" spans="1:27" ht="30" x14ac:dyDescent="0.25">
      <c r="A1" s="6" t="s">
        <v>427</v>
      </c>
      <c r="B1" s="6" t="s">
        <v>1221</v>
      </c>
      <c r="C1" s="47" t="s">
        <v>0</v>
      </c>
      <c r="D1" s="47" t="s">
        <v>1</v>
      </c>
      <c r="E1" s="47" t="s">
        <v>2</v>
      </c>
      <c r="F1" s="47" t="s">
        <v>3</v>
      </c>
      <c r="G1" s="47" t="s">
        <v>4</v>
      </c>
      <c r="H1" s="47" t="s">
        <v>5</v>
      </c>
      <c r="I1" s="47" t="s">
        <v>6</v>
      </c>
      <c r="J1" s="47" t="s">
        <v>7</v>
      </c>
      <c r="K1" s="47" t="s">
        <v>8</v>
      </c>
      <c r="L1" s="47" t="s">
        <v>9</v>
      </c>
      <c r="M1" s="47" t="s">
        <v>10</v>
      </c>
      <c r="N1" s="47" t="s">
        <v>11</v>
      </c>
      <c r="O1" s="47" t="s">
        <v>12</v>
      </c>
      <c r="P1" s="47" t="s">
        <v>13</v>
      </c>
      <c r="Q1" s="47" t="s">
        <v>14</v>
      </c>
      <c r="R1" s="47" t="s">
        <v>15</v>
      </c>
      <c r="S1" s="47" t="s">
        <v>16</v>
      </c>
      <c r="T1" s="47" t="s">
        <v>17</v>
      </c>
      <c r="U1" s="47" t="s">
        <v>18</v>
      </c>
      <c r="V1" s="47" t="s">
        <v>19</v>
      </c>
      <c r="W1" s="47" t="s">
        <v>20</v>
      </c>
      <c r="X1" s="47" t="s">
        <v>21</v>
      </c>
      <c r="Y1" s="47" t="s">
        <v>22</v>
      </c>
      <c r="Z1" s="47" t="s">
        <v>23</v>
      </c>
      <c r="AA1" s="47" t="s">
        <v>24</v>
      </c>
    </row>
    <row r="2" spans="1:27" x14ac:dyDescent="0.25">
      <c r="A2" s="52" t="str">
        <f>CONCATENATE(RIGHT(C2,4),"-",W2)</f>
        <v>6416-682092</v>
      </c>
      <c r="B2" s="53" t="str">
        <f>CONCATENATE("SERIE: ",AA2, "- ",E2," - "," VAUCHER N° ",T2,  " -  OP: ",W2)</f>
        <v>SERIE: 46R20726- POS CONTACTLESS CHIP -  VAUCHER N° 0000113 -  OP: 682092</v>
      </c>
      <c r="C2" s="16" t="s">
        <v>768</v>
      </c>
      <c r="D2" s="16" t="s">
        <v>26</v>
      </c>
      <c r="E2" s="16" t="s">
        <v>27</v>
      </c>
      <c r="F2" s="16" t="s">
        <v>28</v>
      </c>
      <c r="G2" s="16" t="s">
        <v>31</v>
      </c>
      <c r="H2" s="16" t="s">
        <v>769</v>
      </c>
      <c r="I2" s="16" t="s">
        <v>31</v>
      </c>
      <c r="J2" s="16" t="s">
        <v>31</v>
      </c>
      <c r="K2" s="16" t="s">
        <v>50</v>
      </c>
      <c r="L2" s="16" t="s">
        <v>32</v>
      </c>
      <c r="M2" s="17">
        <v>1170</v>
      </c>
      <c r="N2" s="17">
        <v>40.25</v>
      </c>
      <c r="O2" s="17">
        <v>7.25</v>
      </c>
      <c r="P2" s="17">
        <v>1122.5</v>
      </c>
      <c r="Q2" s="17">
        <v>1122.5</v>
      </c>
      <c r="R2" s="16" t="s">
        <v>770</v>
      </c>
      <c r="S2" s="16" t="s">
        <v>771</v>
      </c>
      <c r="T2" s="16" t="s">
        <v>772</v>
      </c>
      <c r="U2" s="16" t="s">
        <v>36</v>
      </c>
      <c r="V2" s="16" t="s">
        <v>773</v>
      </c>
      <c r="W2" s="16">
        <v>682092</v>
      </c>
      <c r="X2" s="16"/>
      <c r="Y2" s="16"/>
      <c r="Z2" s="15">
        <v>604</v>
      </c>
      <c r="AA2" s="15" t="s">
        <v>774</v>
      </c>
    </row>
    <row r="3" spans="1:27" x14ac:dyDescent="0.25">
      <c r="A3" s="52" t="str">
        <f t="shared" ref="A3:A66" si="0">CONCATENATE(RIGHT(C3,4),"-",W3)</f>
        <v>6416-201370</v>
      </c>
      <c r="B3" s="53" t="str">
        <f t="shared" ref="B3:B66" si="1">CONCATENATE("SERIE: ",AA3, "- ",E3," - "," VAUCHER N° ",T3,  " -  OP: ",W3)</f>
        <v>SERIE: MPP002LB3- POS QR -  VAUCHER N° 4019888 -  OP: 201370</v>
      </c>
      <c r="C3" s="16" t="s">
        <v>768</v>
      </c>
      <c r="D3" s="16" t="s">
        <v>26</v>
      </c>
      <c r="E3" s="16" t="s">
        <v>43</v>
      </c>
      <c r="F3" s="16" t="s">
        <v>28</v>
      </c>
      <c r="G3" s="16" t="s">
        <v>50</v>
      </c>
      <c r="H3" s="16" t="s">
        <v>775</v>
      </c>
      <c r="I3" s="16" t="s">
        <v>71</v>
      </c>
      <c r="J3" s="16" t="s">
        <v>50</v>
      </c>
      <c r="K3" s="16" t="s">
        <v>71</v>
      </c>
      <c r="L3" s="16" t="s">
        <v>32</v>
      </c>
      <c r="M3" s="17">
        <v>51.3</v>
      </c>
      <c r="N3" s="17">
        <v>1.76</v>
      </c>
      <c r="O3" s="17">
        <v>0.32</v>
      </c>
      <c r="P3" s="17">
        <v>49.22</v>
      </c>
      <c r="Q3" s="17">
        <v>49.22</v>
      </c>
      <c r="R3" s="16" t="s">
        <v>776</v>
      </c>
      <c r="S3" s="16" t="s">
        <v>777</v>
      </c>
      <c r="T3" s="16">
        <v>4019888</v>
      </c>
      <c r="U3" s="16" t="s">
        <v>36</v>
      </c>
      <c r="V3" s="16" t="s">
        <v>778</v>
      </c>
      <c r="W3" s="16">
        <v>201370</v>
      </c>
      <c r="X3" s="16"/>
      <c r="Y3" s="16"/>
      <c r="Z3" s="15">
        <v>604</v>
      </c>
      <c r="AA3" s="15" t="s">
        <v>779</v>
      </c>
    </row>
    <row r="4" spans="1:27" x14ac:dyDescent="0.25">
      <c r="A4" s="52" t="str">
        <f t="shared" si="0"/>
        <v>6416-746820</v>
      </c>
      <c r="B4" s="53" t="str">
        <f t="shared" si="1"/>
        <v>SERIE: MPP002LB3- POS QR -  VAUCHER N° 5014983 -  OP: 746820</v>
      </c>
      <c r="C4" s="16" t="s">
        <v>768</v>
      </c>
      <c r="D4" s="16" t="s">
        <v>26</v>
      </c>
      <c r="E4" s="16" t="s">
        <v>43</v>
      </c>
      <c r="F4" s="16" t="s">
        <v>28</v>
      </c>
      <c r="G4" s="16" t="s">
        <v>71</v>
      </c>
      <c r="H4" s="16" t="s">
        <v>780</v>
      </c>
      <c r="I4" s="16" t="s">
        <v>92</v>
      </c>
      <c r="J4" s="16" t="s">
        <v>71</v>
      </c>
      <c r="K4" s="16" t="s">
        <v>92</v>
      </c>
      <c r="L4" s="16" t="s">
        <v>32</v>
      </c>
      <c r="M4" s="17">
        <v>140</v>
      </c>
      <c r="N4" s="17">
        <v>4.82</v>
      </c>
      <c r="O4" s="17">
        <v>0.87</v>
      </c>
      <c r="P4" s="17">
        <v>134.31</v>
      </c>
      <c r="Q4" s="17">
        <v>134.31</v>
      </c>
      <c r="R4" s="16" t="s">
        <v>781</v>
      </c>
      <c r="S4" s="16" t="s">
        <v>777</v>
      </c>
      <c r="T4" s="16">
        <v>5014983</v>
      </c>
      <c r="U4" s="16" t="s">
        <v>36</v>
      </c>
      <c r="V4" s="16" t="s">
        <v>782</v>
      </c>
      <c r="W4" s="16">
        <v>746820</v>
      </c>
      <c r="X4" s="16"/>
      <c r="Y4" s="16"/>
      <c r="Z4" s="15">
        <v>604</v>
      </c>
      <c r="AA4" s="15" t="s">
        <v>779</v>
      </c>
    </row>
    <row r="5" spans="1:27" x14ac:dyDescent="0.25">
      <c r="A5" s="52" t="str">
        <f t="shared" si="0"/>
        <v>6416-191620</v>
      </c>
      <c r="B5" s="53" t="str">
        <f t="shared" si="1"/>
        <v>SERIE: 46R20726- POS CONTACTLESS CHIP -  VAUCHER N° 0000129 -  OP: 191620</v>
      </c>
      <c r="C5" s="16" t="s">
        <v>768</v>
      </c>
      <c r="D5" s="16" t="s">
        <v>26</v>
      </c>
      <c r="E5" s="16" t="s">
        <v>27</v>
      </c>
      <c r="F5" s="16" t="s">
        <v>28</v>
      </c>
      <c r="G5" s="16" t="s">
        <v>323</v>
      </c>
      <c r="H5" s="16" t="s">
        <v>783</v>
      </c>
      <c r="I5" s="16" t="s">
        <v>323</v>
      </c>
      <c r="J5" s="16" t="s">
        <v>323</v>
      </c>
      <c r="K5" s="16" t="s">
        <v>337</v>
      </c>
      <c r="L5" s="16" t="s">
        <v>32</v>
      </c>
      <c r="M5" s="17">
        <v>93.8</v>
      </c>
      <c r="N5" s="17">
        <v>3.23</v>
      </c>
      <c r="O5" s="17">
        <v>0.57999999999999996</v>
      </c>
      <c r="P5" s="17">
        <v>89.99</v>
      </c>
      <c r="Q5" s="17">
        <v>89.99</v>
      </c>
      <c r="R5" s="16" t="s">
        <v>784</v>
      </c>
      <c r="S5" s="16" t="s">
        <v>771</v>
      </c>
      <c r="T5" s="16" t="s">
        <v>785</v>
      </c>
      <c r="U5" s="16" t="s">
        <v>36</v>
      </c>
      <c r="V5" s="16" t="s">
        <v>786</v>
      </c>
      <c r="W5" s="16">
        <v>191620</v>
      </c>
      <c r="X5" s="16"/>
      <c r="Y5" s="16"/>
      <c r="Z5" s="15">
        <v>604</v>
      </c>
      <c r="AA5" s="15" t="s">
        <v>774</v>
      </c>
    </row>
    <row r="6" spans="1:27" x14ac:dyDescent="0.25">
      <c r="A6" s="52" t="str">
        <f t="shared" si="0"/>
        <v>DIGO-CODIGO DE AUTORIZACION</v>
      </c>
      <c r="B6" s="53" t="str">
        <f t="shared" si="1"/>
        <v>SERIE: SERIE TERMINAL- TIPO DE CAPTURA -  VAUCHER N° NUM DE REF (VOUCHER) -  OP: CODIGO DE AUTORIZACION</v>
      </c>
      <c r="C6" s="20" t="s">
        <v>0</v>
      </c>
      <c r="D6" s="20" t="s">
        <v>1</v>
      </c>
      <c r="E6" s="20" t="s">
        <v>2</v>
      </c>
      <c r="F6" s="20" t="s">
        <v>3</v>
      </c>
      <c r="G6" s="20" t="s">
        <v>4</v>
      </c>
      <c r="H6" s="20" t="s">
        <v>5</v>
      </c>
      <c r="I6" s="20" t="s">
        <v>6</v>
      </c>
      <c r="J6" s="20" t="s">
        <v>7</v>
      </c>
      <c r="K6" s="20" t="s">
        <v>8</v>
      </c>
      <c r="L6" s="20" t="s">
        <v>9</v>
      </c>
      <c r="M6" s="20" t="s">
        <v>10</v>
      </c>
      <c r="N6" s="20" t="s">
        <v>11</v>
      </c>
      <c r="O6" s="20" t="s">
        <v>12</v>
      </c>
      <c r="P6" s="20" t="s">
        <v>13</v>
      </c>
      <c r="Q6" s="20" t="s">
        <v>14</v>
      </c>
      <c r="R6" s="20" t="s">
        <v>15</v>
      </c>
      <c r="S6" s="20" t="s">
        <v>16</v>
      </c>
      <c r="T6" s="20" t="s">
        <v>17</v>
      </c>
      <c r="U6" s="20" t="s">
        <v>18</v>
      </c>
      <c r="V6" s="20" t="s">
        <v>19</v>
      </c>
      <c r="W6" s="20" t="s">
        <v>20</v>
      </c>
      <c r="X6" s="20" t="s">
        <v>21</v>
      </c>
      <c r="Y6" s="20" t="s">
        <v>22</v>
      </c>
      <c r="Z6" s="20" t="s">
        <v>23</v>
      </c>
      <c r="AA6" s="20" t="s">
        <v>24</v>
      </c>
    </row>
    <row r="7" spans="1:27" x14ac:dyDescent="0.25">
      <c r="A7" s="52" t="str">
        <f t="shared" si="0"/>
        <v>4519-334072</v>
      </c>
      <c r="B7" s="53" t="str">
        <f t="shared" si="1"/>
        <v>SERIE: FD894553- POS CONTACTLESS CHIP -  VAUCHER N° 0000084 -  OP: 334072</v>
      </c>
      <c r="C7" s="21" t="s">
        <v>787</v>
      </c>
      <c r="D7" s="21" t="s">
        <v>26</v>
      </c>
      <c r="E7" s="21" t="s">
        <v>27</v>
      </c>
      <c r="F7" s="21" t="s">
        <v>28</v>
      </c>
      <c r="G7" s="21" t="s">
        <v>50</v>
      </c>
      <c r="H7" s="21" t="s">
        <v>788</v>
      </c>
      <c r="I7" s="21" t="s">
        <v>50</v>
      </c>
      <c r="J7" s="21" t="s">
        <v>50</v>
      </c>
      <c r="K7" s="21" t="s">
        <v>71</v>
      </c>
      <c r="L7" s="21" t="s">
        <v>32</v>
      </c>
      <c r="M7" s="22">
        <v>15</v>
      </c>
      <c r="N7" s="22">
        <v>0.44</v>
      </c>
      <c r="O7" s="22">
        <v>0.08</v>
      </c>
      <c r="P7" s="22">
        <v>14.48</v>
      </c>
      <c r="Q7" s="22">
        <v>38.61</v>
      </c>
      <c r="R7" s="21" t="s">
        <v>789</v>
      </c>
      <c r="S7" s="21" t="s">
        <v>771</v>
      </c>
      <c r="T7" s="21" t="s">
        <v>790</v>
      </c>
      <c r="U7" s="21" t="s">
        <v>36</v>
      </c>
      <c r="V7" s="21" t="s">
        <v>791</v>
      </c>
      <c r="W7" s="21">
        <v>334072</v>
      </c>
      <c r="X7" s="21"/>
      <c r="Y7" s="21"/>
      <c r="Z7" s="19">
        <v>604</v>
      </c>
      <c r="AA7" s="19" t="s">
        <v>792</v>
      </c>
    </row>
    <row r="8" spans="1:27" x14ac:dyDescent="0.25">
      <c r="A8" s="52" t="str">
        <f t="shared" si="0"/>
        <v>4519-811660</v>
      </c>
      <c r="B8" s="53" t="str">
        <f t="shared" si="1"/>
        <v>SERIE: FD894553- POS CONTACTLESS CHIP -  VAUCHER N° 0000082 -  OP: 811660</v>
      </c>
      <c r="C8" s="21" t="s">
        <v>787</v>
      </c>
      <c r="D8" s="21" t="s">
        <v>26</v>
      </c>
      <c r="E8" s="21" t="s">
        <v>27</v>
      </c>
      <c r="F8" s="21" t="s">
        <v>28</v>
      </c>
      <c r="G8" s="21" t="s">
        <v>50</v>
      </c>
      <c r="H8" s="21" t="s">
        <v>793</v>
      </c>
      <c r="I8" s="21" t="s">
        <v>50</v>
      </c>
      <c r="J8" s="21" t="s">
        <v>50</v>
      </c>
      <c r="K8" s="21" t="s">
        <v>71</v>
      </c>
      <c r="L8" s="21" t="s">
        <v>32</v>
      </c>
      <c r="M8" s="22">
        <v>25</v>
      </c>
      <c r="N8" s="22">
        <v>0.74</v>
      </c>
      <c r="O8" s="22">
        <v>0.13</v>
      </c>
      <c r="P8" s="22">
        <v>24.13</v>
      </c>
      <c r="Q8" s="22">
        <v>0</v>
      </c>
      <c r="R8" s="21" t="s">
        <v>789</v>
      </c>
      <c r="S8" s="21" t="s">
        <v>771</v>
      </c>
      <c r="T8" s="21" t="s">
        <v>794</v>
      </c>
      <c r="U8" s="21" t="s">
        <v>36</v>
      </c>
      <c r="V8" s="21" t="s">
        <v>795</v>
      </c>
      <c r="W8" s="21">
        <v>811660</v>
      </c>
      <c r="X8" s="21"/>
      <c r="Y8" s="21"/>
      <c r="Z8" s="19">
        <v>604</v>
      </c>
      <c r="AA8" s="19" t="s">
        <v>792</v>
      </c>
    </row>
    <row r="9" spans="1:27" x14ac:dyDescent="0.25">
      <c r="A9" s="52" t="str">
        <f t="shared" si="0"/>
        <v>4519-983592</v>
      </c>
      <c r="B9" s="53" t="str">
        <f t="shared" si="1"/>
        <v>SERIE: MPP002LL3- POS QR -  VAUCHER N° 5004097 -  OP: 983592</v>
      </c>
      <c r="C9" s="21" t="s">
        <v>787</v>
      </c>
      <c r="D9" s="21" t="s">
        <v>26</v>
      </c>
      <c r="E9" s="21" t="s">
        <v>43</v>
      </c>
      <c r="F9" s="21" t="s">
        <v>28</v>
      </c>
      <c r="G9" s="21" t="s">
        <v>71</v>
      </c>
      <c r="H9" s="21" t="s">
        <v>796</v>
      </c>
      <c r="I9" s="21" t="s">
        <v>92</v>
      </c>
      <c r="J9" s="21" t="s">
        <v>71</v>
      </c>
      <c r="K9" s="21" t="s">
        <v>92</v>
      </c>
      <c r="L9" s="21" t="s">
        <v>32</v>
      </c>
      <c r="M9" s="22">
        <v>59.4</v>
      </c>
      <c r="N9" s="22">
        <v>1.75</v>
      </c>
      <c r="O9" s="22">
        <v>0.32</v>
      </c>
      <c r="P9" s="22">
        <v>57.33</v>
      </c>
      <c r="Q9" s="22">
        <v>170.26</v>
      </c>
      <c r="R9" s="21" t="s">
        <v>797</v>
      </c>
      <c r="S9" s="21" t="s">
        <v>798</v>
      </c>
      <c r="T9" s="21">
        <v>5004097</v>
      </c>
      <c r="U9" s="21" t="s">
        <v>36</v>
      </c>
      <c r="V9" s="21" t="s">
        <v>253</v>
      </c>
      <c r="W9" s="21">
        <v>983592</v>
      </c>
      <c r="X9" s="21"/>
      <c r="Y9" s="21"/>
      <c r="Z9" s="19">
        <v>604</v>
      </c>
      <c r="AA9" s="19" t="s">
        <v>799</v>
      </c>
    </row>
    <row r="10" spans="1:27" x14ac:dyDescent="0.25">
      <c r="A10" s="52" t="str">
        <f t="shared" si="0"/>
        <v>4519-557204</v>
      </c>
      <c r="B10" s="53" t="str">
        <f t="shared" si="1"/>
        <v>SERIE: FD894553- POS CONTACTLESS CHIP -  VAUCHER N° 0000093 -  OP: 557204</v>
      </c>
      <c r="C10" s="21" t="s">
        <v>787</v>
      </c>
      <c r="D10" s="21" t="s">
        <v>26</v>
      </c>
      <c r="E10" s="21" t="s">
        <v>27</v>
      </c>
      <c r="F10" s="21" t="s">
        <v>28</v>
      </c>
      <c r="G10" s="21" t="s">
        <v>71</v>
      </c>
      <c r="H10" s="21" t="s">
        <v>800</v>
      </c>
      <c r="I10" s="21" t="s">
        <v>71</v>
      </c>
      <c r="J10" s="21" t="s">
        <v>71</v>
      </c>
      <c r="K10" s="21" t="s">
        <v>92</v>
      </c>
      <c r="L10" s="21" t="s">
        <v>32</v>
      </c>
      <c r="M10" s="22">
        <v>45</v>
      </c>
      <c r="N10" s="22">
        <v>1.33</v>
      </c>
      <c r="O10" s="22">
        <v>0.24</v>
      </c>
      <c r="P10" s="22">
        <v>43.43</v>
      </c>
      <c r="Q10" s="22">
        <v>0</v>
      </c>
      <c r="R10" s="21" t="s">
        <v>797</v>
      </c>
      <c r="S10" s="21" t="s">
        <v>771</v>
      </c>
      <c r="T10" s="21" t="s">
        <v>801</v>
      </c>
      <c r="U10" s="21" t="s">
        <v>36</v>
      </c>
      <c r="V10" s="21" t="s">
        <v>410</v>
      </c>
      <c r="W10" s="21">
        <v>557204</v>
      </c>
      <c r="X10" s="21"/>
      <c r="Y10" s="21"/>
      <c r="Z10" s="19">
        <v>604</v>
      </c>
      <c r="AA10" s="19" t="s">
        <v>792</v>
      </c>
    </row>
    <row r="11" spans="1:27" x14ac:dyDescent="0.25">
      <c r="A11" s="52" t="str">
        <f t="shared" si="0"/>
        <v>4519-196070</v>
      </c>
      <c r="B11" s="53" t="str">
        <f t="shared" si="1"/>
        <v>SERIE: FD894553- POS CONTACTLESS CHIP -  VAUCHER N° 0000091 -  OP: 196070</v>
      </c>
      <c r="C11" s="21" t="s">
        <v>787</v>
      </c>
      <c r="D11" s="21" t="s">
        <v>26</v>
      </c>
      <c r="E11" s="21" t="s">
        <v>27</v>
      </c>
      <c r="F11" s="21" t="s">
        <v>28</v>
      </c>
      <c r="G11" s="21" t="s">
        <v>71</v>
      </c>
      <c r="H11" s="21" t="s">
        <v>802</v>
      </c>
      <c r="I11" s="21" t="s">
        <v>71</v>
      </c>
      <c r="J11" s="21" t="s">
        <v>71</v>
      </c>
      <c r="K11" s="21" t="s">
        <v>92</v>
      </c>
      <c r="L11" s="21" t="s">
        <v>32</v>
      </c>
      <c r="M11" s="22">
        <v>72</v>
      </c>
      <c r="N11" s="22">
        <v>2.12</v>
      </c>
      <c r="O11" s="22">
        <v>0.38</v>
      </c>
      <c r="P11" s="22">
        <v>69.5</v>
      </c>
      <c r="Q11" s="22">
        <v>0</v>
      </c>
      <c r="R11" s="21" t="s">
        <v>797</v>
      </c>
      <c r="S11" s="21" t="s">
        <v>771</v>
      </c>
      <c r="T11" s="21" t="s">
        <v>803</v>
      </c>
      <c r="U11" s="21" t="s">
        <v>36</v>
      </c>
      <c r="V11" s="21" t="s">
        <v>804</v>
      </c>
      <c r="W11" s="21">
        <v>196070</v>
      </c>
      <c r="X11" s="21"/>
      <c r="Y11" s="21"/>
      <c r="Z11" s="19">
        <v>604</v>
      </c>
      <c r="AA11" s="19" t="s">
        <v>792</v>
      </c>
    </row>
    <row r="12" spans="1:27" x14ac:dyDescent="0.25">
      <c r="A12" s="52" t="str">
        <f t="shared" si="0"/>
        <v>4519-061394</v>
      </c>
      <c r="B12" s="53" t="str">
        <f t="shared" si="1"/>
        <v>SERIE: FD894553- POS CONTACTLESS CHIP -  VAUCHER N° 0000102 -  OP: 061394</v>
      </c>
      <c r="C12" s="21" t="s">
        <v>787</v>
      </c>
      <c r="D12" s="21" t="s">
        <v>26</v>
      </c>
      <c r="E12" s="21" t="s">
        <v>27</v>
      </c>
      <c r="F12" s="21" t="s">
        <v>28</v>
      </c>
      <c r="G12" s="21" t="s">
        <v>136</v>
      </c>
      <c r="H12" s="21" t="s">
        <v>805</v>
      </c>
      <c r="I12" s="21" t="s">
        <v>136</v>
      </c>
      <c r="J12" s="21" t="s">
        <v>136</v>
      </c>
      <c r="K12" s="21" t="s">
        <v>150</v>
      </c>
      <c r="L12" s="21" t="s">
        <v>32</v>
      </c>
      <c r="M12" s="22">
        <v>391</v>
      </c>
      <c r="N12" s="22">
        <v>11.53</v>
      </c>
      <c r="O12" s="22">
        <v>2.08</v>
      </c>
      <c r="P12" s="22">
        <v>377.39</v>
      </c>
      <c r="Q12" s="22">
        <v>377.39</v>
      </c>
      <c r="R12" s="21" t="s">
        <v>806</v>
      </c>
      <c r="S12" s="21" t="s">
        <v>771</v>
      </c>
      <c r="T12" s="21" t="s">
        <v>807</v>
      </c>
      <c r="U12" s="21" t="s">
        <v>36</v>
      </c>
      <c r="V12" s="21" t="s">
        <v>808</v>
      </c>
      <c r="W12" s="21" t="s">
        <v>809</v>
      </c>
      <c r="X12" s="21"/>
      <c r="Y12" s="21"/>
      <c r="Z12" s="19">
        <v>604</v>
      </c>
      <c r="AA12" s="19" t="s">
        <v>792</v>
      </c>
    </row>
    <row r="13" spans="1:27" x14ac:dyDescent="0.25">
      <c r="A13" s="52" t="str">
        <f t="shared" si="0"/>
        <v>4519-399573</v>
      </c>
      <c r="B13" s="53" t="str">
        <f t="shared" si="1"/>
        <v>SERIE: FD894553- POS CONTACTLESS CHIP -  VAUCHER N° 0000108 -  OP: 399573</v>
      </c>
      <c r="C13" s="21" t="s">
        <v>787</v>
      </c>
      <c r="D13" s="21" t="s">
        <v>26</v>
      </c>
      <c r="E13" s="21" t="s">
        <v>27</v>
      </c>
      <c r="F13" s="21" t="s">
        <v>28</v>
      </c>
      <c r="G13" s="21" t="s">
        <v>150</v>
      </c>
      <c r="H13" s="21" t="s">
        <v>810</v>
      </c>
      <c r="I13" s="21" t="s">
        <v>150</v>
      </c>
      <c r="J13" s="21" t="s">
        <v>150</v>
      </c>
      <c r="K13" s="21" t="s">
        <v>170</v>
      </c>
      <c r="L13" s="21" t="s">
        <v>32</v>
      </c>
      <c r="M13" s="22">
        <v>32</v>
      </c>
      <c r="N13" s="22">
        <v>1.26</v>
      </c>
      <c r="O13" s="22">
        <v>0.23</v>
      </c>
      <c r="P13" s="22">
        <v>30.51</v>
      </c>
      <c r="Q13" s="22">
        <v>30.51</v>
      </c>
      <c r="R13" s="21" t="s">
        <v>811</v>
      </c>
      <c r="S13" s="21" t="s">
        <v>771</v>
      </c>
      <c r="T13" s="21" t="s">
        <v>812</v>
      </c>
      <c r="U13" s="21" t="s">
        <v>63</v>
      </c>
      <c r="V13" s="21" t="s">
        <v>813</v>
      </c>
      <c r="W13" s="21">
        <v>399573</v>
      </c>
      <c r="X13" s="21"/>
      <c r="Y13" s="21"/>
      <c r="Z13" s="19">
        <v>604</v>
      </c>
      <c r="AA13" s="19" t="s">
        <v>792</v>
      </c>
    </row>
    <row r="14" spans="1:27" x14ac:dyDescent="0.25">
      <c r="A14" s="52" t="str">
        <f t="shared" si="0"/>
        <v>4519-965662</v>
      </c>
      <c r="B14" s="53" t="str">
        <f t="shared" si="1"/>
        <v>SERIE: MPP002LL3- POS QR -  VAUCHER N° 6022177 -  OP: 965662</v>
      </c>
      <c r="C14" s="21" t="s">
        <v>787</v>
      </c>
      <c r="D14" s="21" t="s">
        <v>26</v>
      </c>
      <c r="E14" s="21" t="s">
        <v>43</v>
      </c>
      <c r="F14" s="21" t="s">
        <v>28</v>
      </c>
      <c r="G14" s="21" t="s">
        <v>170</v>
      </c>
      <c r="H14" s="21" t="s">
        <v>814</v>
      </c>
      <c r="I14" s="21" t="s">
        <v>170</v>
      </c>
      <c r="J14" s="21" t="s">
        <v>170</v>
      </c>
      <c r="K14" s="21" t="s">
        <v>182</v>
      </c>
      <c r="L14" s="21" t="s">
        <v>32</v>
      </c>
      <c r="M14" s="22">
        <v>126.9</v>
      </c>
      <c r="N14" s="22">
        <v>3.74</v>
      </c>
      <c r="O14" s="22">
        <v>0.67</v>
      </c>
      <c r="P14" s="22">
        <v>122.49</v>
      </c>
      <c r="Q14" s="22">
        <v>122.49</v>
      </c>
      <c r="R14" s="21" t="s">
        <v>815</v>
      </c>
      <c r="S14" s="21" t="s">
        <v>798</v>
      </c>
      <c r="T14" s="21">
        <v>6022177</v>
      </c>
      <c r="U14" s="21" t="s">
        <v>36</v>
      </c>
      <c r="V14" s="21" t="s">
        <v>253</v>
      </c>
      <c r="W14" s="21">
        <v>965662</v>
      </c>
      <c r="X14" s="21"/>
      <c r="Y14" s="21"/>
      <c r="Z14" s="19">
        <v>604</v>
      </c>
      <c r="AA14" s="19" t="s">
        <v>799</v>
      </c>
    </row>
    <row r="15" spans="1:27" x14ac:dyDescent="0.25">
      <c r="A15" s="52" t="str">
        <f t="shared" si="0"/>
        <v>4519-750155</v>
      </c>
      <c r="B15" s="53" t="str">
        <f t="shared" si="1"/>
        <v>SERIE: FD894553- POS CONTACTLESS CHIP -  VAUCHER N° 0000147 -  OP: 750155</v>
      </c>
      <c r="C15" s="21" t="s">
        <v>787</v>
      </c>
      <c r="D15" s="21" t="s">
        <v>26</v>
      </c>
      <c r="E15" s="21" t="s">
        <v>27</v>
      </c>
      <c r="F15" s="21" t="s">
        <v>28</v>
      </c>
      <c r="G15" s="21" t="s">
        <v>182</v>
      </c>
      <c r="H15" s="21" t="s">
        <v>816</v>
      </c>
      <c r="I15" s="21" t="s">
        <v>182</v>
      </c>
      <c r="J15" s="21" t="s">
        <v>182</v>
      </c>
      <c r="K15" s="21" t="s">
        <v>196</v>
      </c>
      <c r="L15" s="21" t="s">
        <v>32</v>
      </c>
      <c r="M15" s="22">
        <v>74</v>
      </c>
      <c r="N15" s="22">
        <v>2.1800000000000002</v>
      </c>
      <c r="O15" s="22">
        <v>0.39</v>
      </c>
      <c r="P15" s="22">
        <v>71.430000000000007</v>
      </c>
      <c r="Q15" s="22">
        <v>71.430000000000007</v>
      </c>
      <c r="R15" s="21" t="s">
        <v>817</v>
      </c>
      <c r="S15" s="21" t="s">
        <v>771</v>
      </c>
      <c r="T15" s="21" t="s">
        <v>818</v>
      </c>
      <c r="U15" s="21" t="s">
        <v>36</v>
      </c>
      <c r="V15" s="21" t="s">
        <v>819</v>
      </c>
      <c r="W15" s="21">
        <v>750155</v>
      </c>
      <c r="X15" s="21"/>
      <c r="Y15" s="21"/>
      <c r="Z15" s="19">
        <v>604</v>
      </c>
      <c r="AA15" s="19" t="s">
        <v>792</v>
      </c>
    </row>
    <row r="16" spans="1:27" x14ac:dyDescent="0.25">
      <c r="A16" s="52" t="str">
        <f t="shared" si="0"/>
        <v>4519-652498</v>
      </c>
      <c r="B16" s="53" t="str">
        <f t="shared" si="1"/>
        <v>SERIE: MPP002LL3- POS QR -  VAUCHER N° 6049819 -  OP: 652498</v>
      </c>
      <c r="C16" s="21" t="s">
        <v>787</v>
      </c>
      <c r="D16" s="21" t="s">
        <v>26</v>
      </c>
      <c r="E16" s="21" t="s">
        <v>43</v>
      </c>
      <c r="F16" s="21" t="s">
        <v>28</v>
      </c>
      <c r="G16" s="21" t="s">
        <v>196</v>
      </c>
      <c r="H16" s="21" t="s">
        <v>820</v>
      </c>
      <c r="I16" s="21" t="s">
        <v>196</v>
      </c>
      <c r="J16" s="21" t="s">
        <v>196</v>
      </c>
      <c r="K16" s="21" t="s">
        <v>226</v>
      </c>
      <c r="L16" s="21" t="s">
        <v>32</v>
      </c>
      <c r="M16" s="22">
        <v>27</v>
      </c>
      <c r="N16" s="22">
        <v>0.8</v>
      </c>
      <c r="O16" s="22">
        <v>0.14000000000000001</v>
      </c>
      <c r="P16" s="22">
        <v>26.06</v>
      </c>
      <c r="Q16" s="22">
        <v>71.91</v>
      </c>
      <c r="R16" s="21">
        <v>5294</v>
      </c>
      <c r="S16" s="21" t="s">
        <v>798</v>
      </c>
      <c r="T16" s="21">
        <v>6049819</v>
      </c>
      <c r="U16" s="21" t="s">
        <v>36</v>
      </c>
      <c r="V16" s="21" t="s">
        <v>253</v>
      </c>
      <c r="W16" s="21">
        <v>652498</v>
      </c>
      <c r="X16" s="21"/>
      <c r="Y16" s="21"/>
      <c r="Z16" s="19">
        <v>604</v>
      </c>
      <c r="AA16" s="19" t="s">
        <v>799</v>
      </c>
    </row>
    <row r="17" spans="1:27" x14ac:dyDescent="0.25">
      <c r="A17" s="52" t="str">
        <f t="shared" si="0"/>
        <v>4519-513299</v>
      </c>
      <c r="B17" s="53" t="str">
        <f t="shared" si="1"/>
        <v>SERIE: FD894553- POS CONTACTLESS CHIP -  VAUCHER N° 0000157 -  OP: 513299</v>
      </c>
      <c r="C17" s="21" t="s">
        <v>787</v>
      </c>
      <c r="D17" s="21" t="s">
        <v>26</v>
      </c>
      <c r="E17" s="21" t="s">
        <v>27</v>
      </c>
      <c r="F17" s="21" t="s">
        <v>28</v>
      </c>
      <c r="G17" s="21" t="s">
        <v>196</v>
      </c>
      <c r="H17" s="21" t="s">
        <v>821</v>
      </c>
      <c r="I17" s="21" t="s">
        <v>196</v>
      </c>
      <c r="J17" s="21" t="s">
        <v>196</v>
      </c>
      <c r="K17" s="21" t="s">
        <v>226</v>
      </c>
      <c r="L17" s="21" t="s">
        <v>32</v>
      </c>
      <c r="M17" s="22">
        <v>40</v>
      </c>
      <c r="N17" s="22">
        <v>1.58</v>
      </c>
      <c r="O17" s="22">
        <v>0.28000000000000003</v>
      </c>
      <c r="P17" s="22">
        <v>38.14</v>
      </c>
      <c r="Q17" s="22">
        <v>0</v>
      </c>
      <c r="R17" s="21" t="s">
        <v>822</v>
      </c>
      <c r="S17" s="21" t="s">
        <v>771</v>
      </c>
      <c r="T17" s="21" t="s">
        <v>823</v>
      </c>
      <c r="U17" s="21" t="s">
        <v>36</v>
      </c>
      <c r="V17" s="21" t="s">
        <v>824</v>
      </c>
      <c r="W17" s="21">
        <v>513299</v>
      </c>
      <c r="X17" s="21"/>
      <c r="Y17" s="21"/>
      <c r="Z17" s="19">
        <v>604</v>
      </c>
      <c r="AA17" s="19" t="s">
        <v>792</v>
      </c>
    </row>
    <row r="18" spans="1:27" x14ac:dyDescent="0.25">
      <c r="A18" s="52" t="str">
        <f t="shared" si="0"/>
        <v>4519-259216</v>
      </c>
      <c r="B18" s="53" t="str">
        <f t="shared" si="1"/>
        <v>SERIE: FD894553- POS CONTACTLESS CHIP -  VAUCHER N° 0000152 -  OP: 259216</v>
      </c>
      <c r="C18" s="21" t="s">
        <v>787</v>
      </c>
      <c r="D18" s="21" t="s">
        <v>26</v>
      </c>
      <c r="E18" s="21" t="s">
        <v>27</v>
      </c>
      <c r="F18" s="21" t="s">
        <v>28</v>
      </c>
      <c r="G18" s="21" t="s">
        <v>196</v>
      </c>
      <c r="H18" s="21" t="s">
        <v>825</v>
      </c>
      <c r="I18" s="21" t="s">
        <v>196</v>
      </c>
      <c r="J18" s="21" t="s">
        <v>196</v>
      </c>
      <c r="K18" s="21" t="s">
        <v>226</v>
      </c>
      <c r="L18" s="21" t="s">
        <v>32</v>
      </c>
      <c r="M18" s="22">
        <v>8</v>
      </c>
      <c r="N18" s="22">
        <v>0.24</v>
      </c>
      <c r="O18" s="22">
        <v>0.05</v>
      </c>
      <c r="P18" s="22">
        <v>7.71</v>
      </c>
      <c r="Q18" s="22">
        <v>0</v>
      </c>
      <c r="R18" s="21" t="s">
        <v>822</v>
      </c>
      <c r="S18" s="21" t="s">
        <v>771</v>
      </c>
      <c r="T18" s="21" t="s">
        <v>826</v>
      </c>
      <c r="U18" s="21" t="s">
        <v>36</v>
      </c>
      <c r="V18" s="21" t="s">
        <v>827</v>
      </c>
      <c r="W18" s="21">
        <v>259216</v>
      </c>
      <c r="X18" s="21"/>
      <c r="Y18" s="21"/>
      <c r="Z18" s="19">
        <v>604</v>
      </c>
      <c r="AA18" s="19" t="s">
        <v>792</v>
      </c>
    </row>
    <row r="19" spans="1:27" x14ac:dyDescent="0.25">
      <c r="A19" s="52" t="str">
        <f t="shared" si="0"/>
        <v>4519-274164</v>
      </c>
      <c r="B19" s="53" t="str">
        <f t="shared" si="1"/>
        <v>SERIE: FD894553- POS CONTACTLESS CHIP -  VAUCHER N° 0000168 -  OP: 274164</v>
      </c>
      <c r="C19" s="21" t="s">
        <v>787</v>
      </c>
      <c r="D19" s="21" t="s">
        <v>26</v>
      </c>
      <c r="E19" s="21" t="s">
        <v>27</v>
      </c>
      <c r="F19" s="21" t="s">
        <v>28</v>
      </c>
      <c r="G19" s="21" t="s">
        <v>226</v>
      </c>
      <c r="H19" s="21" t="s">
        <v>828</v>
      </c>
      <c r="I19" s="21" t="s">
        <v>226</v>
      </c>
      <c r="J19" s="21" t="s">
        <v>226</v>
      </c>
      <c r="K19" s="21" t="s">
        <v>246</v>
      </c>
      <c r="L19" s="21" t="s">
        <v>32</v>
      </c>
      <c r="M19" s="22">
        <v>222.1</v>
      </c>
      <c r="N19" s="22">
        <v>8.77</v>
      </c>
      <c r="O19" s="22">
        <v>1.58</v>
      </c>
      <c r="P19" s="22">
        <v>211.75</v>
      </c>
      <c r="Q19" s="22">
        <v>351.7</v>
      </c>
      <c r="R19" s="21" t="s">
        <v>829</v>
      </c>
      <c r="S19" s="21" t="s">
        <v>771</v>
      </c>
      <c r="T19" s="21" t="s">
        <v>830</v>
      </c>
      <c r="U19" s="21" t="s">
        <v>381</v>
      </c>
      <c r="V19" s="21" t="s">
        <v>831</v>
      </c>
      <c r="W19" s="21">
        <v>274164</v>
      </c>
      <c r="X19" s="21" t="s">
        <v>832</v>
      </c>
      <c r="Y19" s="21"/>
      <c r="Z19" s="19">
        <v>604</v>
      </c>
      <c r="AA19" s="19" t="s">
        <v>792</v>
      </c>
    </row>
    <row r="20" spans="1:27" x14ac:dyDescent="0.25">
      <c r="A20" s="52" t="str">
        <f t="shared" si="0"/>
        <v>4519-504191</v>
      </c>
      <c r="B20" s="53" t="str">
        <f t="shared" si="1"/>
        <v>SERIE: MPP002LL3- POS QR -  VAUCHER N° 3005394 -  OP: 504191</v>
      </c>
      <c r="C20" s="21" t="s">
        <v>787</v>
      </c>
      <c r="D20" s="21" t="s">
        <v>26</v>
      </c>
      <c r="E20" s="21" t="s">
        <v>43</v>
      </c>
      <c r="F20" s="21" t="s">
        <v>28</v>
      </c>
      <c r="G20" s="21" t="s">
        <v>226</v>
      </c>
      <c r="H20" s="21" t="s">
        <v>833</v>
      </c>
      <c r="I20" s="21" t="s">
        <v>226</v>
      </c>
      <c r="J20" s="21" t="s">
        <v>226</v>
      </c>
      <c r="K20" s="21" t="s">
        <v>246</v>
      </c>
      <c r="L20" s="21" t="s">
        <v>32</v>
      </c>
      <c r="M20" s="22">
        <v>145</v>
      </c>
      <c r="N20" s="22">
        <v>4.28</v>
      </c>
      <c r="O20" s="22">
        <v>0.77</v>
      </c>
      <c r="P20" s="22">
        <v>139.94999999999999</v>
      </c>
      <c r="Q20" s="22">
        <v>0</v>
      </c>
      <c r="R20" s="21" t="s">
        <v>829</v>
      </c>
      <c r="S20" s="21" t="s">
        <v>798</v>
      </c>
      <c r="T20" s="21">
        <v>3005394</v>
      </c>
      <c r="U20" s="21" t="s">
        <v>36</v>
      </c>
      <c r="V20" s="21" t="s">
        <v>834</v>
      </c>
      <c r="W20" s="21">
        <v>504191</v>
      </c>
      <c r="X20" s="21"/>
      <c r="Y20" s="21"/>
      <c r="Z20" s="19">
        <v>604</v>
      </c>
      <c r="AA20" s="19" t="s">
        <v>799</v>
      </c>
    </row>
    <row r="21" spans="1:27" x14ac:dyDescent="0.25">
      <c r="A21" s="52" t="str">
        <f t="shared" si="0"/>
        <v>4519-203143</v>
      </c>
      <c r="B21" s="53" t="str">
        <f t="shared" si="1"/>
        <v>SERIE: FD894553- POS CONTACTLESS CHIP -  VAUCHER N° 0000174 -  OP: 203143</v>
      </c>
      <c r="C21" s="21" t="s">
        <v>787</v>
      </c>
      <c r="D21" s="21" t="s">
        <v>26</v>
      </c>
      <c r="E21" s="21" t="s">
        <v>27</v>
      </c>
      <c r="F21" s="21" t="s">
        <v>28</v>
      </c>
      <c r="G21" s="21" t="s">
        <v>246</v>
      </c>
      <c r="H21" s="21" t="s">
        <v>835</v>
      </c>
      <c r="I21" s="21" t="s">
        <v>246</v>
      </c>
      <c r="J21" s="21" t="s">
        <v>246</v>
      </c>
      <c r="K21" s="21" t="s">
        <v>266</v>
      </c>
      <c r="L21" s="21" t="s">
        <v>32</v>
      </c>
      <c r="M21" s="22">
        <v>80</v>
      </c>
      <c r="N21" s="22">
        <v>2.36</v>
      </c>
      <c r="O21" s="22">
        <v>0.42</v>
      </c>
      <c r="P21" s="22">
        <v>77.22</v>
      </c>
      <c r="Q21" s="22">
        <v>163.01</v>
      </c>
      <c r="R21" s="21" t="s">
        <v>836</v>
      </c>
      <c r="S21" s="21" t="s">
        <v>771</v>
      </c>
      <c r="T21" s="21" t="s">
        <v>837</v>
      </c>
      <c r="U21" s="21" t="s">
        <v>36</v>
      </c>
      <c r="V21" s="21" t="s">
        <v>838</v>
      </c>
      <c r="W21" s="21">
        <v>203143</v>
      </c>
      <c r="X21" s="21"/>
      <c r="Y21" s="21"/>
      <c r="Z21" s="19">
        <v>604</v>
      </c>
      <c r="AA21" s="19" t="s">
        <v>792</v>
      </c>
    </row>
    <row r="22" spans="1:27" x14ac:dyDescent="0.25">
      <c r="A22" s="52" t="str">
        <f t="shared" si="0"/>
        <v>4519-174967</v>
      </c>
      <c r="B22" s="53" t="str">
        <f t="shared" si="1"/>
        <v>SERIE: FD894553- QPS CHIP EMV -  VAUCHER N° 0000185 -  OP: 174967</v>
      </c>
      <c r="C22" s="21" t="s">
        <v>787</v>
      </c>
      <c r="D22" s="21" t="s">
        <v>26</v>
      </c>
      <c r="E22" s="21" t="s">
        <v>839</v>
      </c>
      <c r="F22" s="21" t="s">
        <v>28</v>
      </c>
      <c r="G22" s="21" t="s">
        <v>246</v>
      </c>
      <c r="H22" s="21" t="s">
        <v>840</v>
      </c>
      <c r="I22" s="21" t="s">
        <v>246</v>
      </c>
      <c r="J22" s="21" t="s">
        <v>246</v>
      </c>
      <c r="K22" s="21" t="s">
        <v>266</v>
      </c>
      <c r="L22" s="21" t="s">
        <v>32</v>
      </c>
      <c r="M22" s="22">
        <v>90</v>
      </c>
      <c r="N22" s="22">
        <v>3.56</v>
      </c>
      <c r="O22" s="22">
        <v>0.65</v>
      </c>
      <c r="P22" s="22">
        <v>85.79</v>
      </c>
      <c r="Q22" s="22">
        <v>0</v>
      </c>
      <c r="R22" s="21" t="s">
        <v>836</v>
      </c>
      <c r="S22" s="21" t="s">
        <v>771</v>
      </c>
      <c r="T22" s="21" t="s">
        <v>841</v>
      </c>
      <c r="U22" s="21" t="s">
        <v>381</v>
      </c>
      <c r="V22" s="21" t="s">
        <v>842</v>
      </c>
      <c r="W22" s="21">
        <v>174967</v>
      </c>
      <c r="X22" s="21" t="s">
        <v>832</v>
      </c>
      <c r="Y22" s="21"/>
      <c r="Z22" s="19">
        <v>604</v>
      </c>
      <c r="AA22" s="19" t="s">
        <v>792</v>
      </c>
    </row>
    <row r="23" spans="1:27" x14ac:dyDescent="0.25">
      <c r="A23" s="52" t="str">
        <f t="shared" si="0"/>
        <v>4519-495874</v>
      </c>
      <c r="B23" s="53" t="str">
        <f t="shared" si="1"/>
        <v>SERIE: FD894553- POS CONTACTLESS CHIP -  VAUCHER N° 0000190 -  OP: 495874</v>
      </c>
      <c r="C23" s="21" t="s">
        <v>787</v>
      </c>
      <c r="D23" s="21" t="s">
        <v>26</v>
      </c>
      <c r="E23" s="21" t="s">
        <v>27</v>
      </c>
      <c r="F23" s="21" t="s">
        <v>28</v>
      </c>
      <c r="G23" s="21" t="s">
        <v>266</v>
      </c>
      <c r="H23" s="21" t="s">
        <v>843</v>
      </c>
      <c r="I23" s="21" t="s">
        <v>266</v>
      </c>
      <c r="J23" s="21" t="s">
        <v>266</v>
      </c>
      <c r="K23" s="21" t="s">
        <v>281</v>
      </c>
      <c r="L23" s="21" t="s">
        <v>32</v>
      </c>
      <c r="M23" s="22">
        <v>54</v>
      </c>
      <c r="N23" s="22">
        <v>2.13</v>
      </c>
      <c r="O23" s="22">
        <v>0.38</v>
      </c>
      <c r="P23" s="22">
        <v>51.49</v>
      </c>
      <c r="Q23" s="22">
        <v>51.49</v>
      </c>
      <c r="R23" s="21" t="s">
        <v>844</v>
      </c>
      <c r="S23" s="21" t="s">
        <v>771</v>
      </c>
      <c r="T23" s="21" t="s">
        <v>845</v>
      </c>
      <c r="U23" s="21" t="s">
        <v>36</v>
      </c>
      <c r="V23" s="21" t="s">
        <v>846</v>
      </c>
      <c r="W23" s="21">
        <v>495874</v>
      </c>
      <c r="X23" s="21"/>
      <c r="Y23" s="21"/>
      <c r="Z23" s="19">
        <v>604</v>
      </c>
      <c r="AA23" s="19" t="s">
        <v>792</v>
      </c>
    </row>
    <row r="24" spans="1:27" x14ac:dyDescent="0.25">
      <c r="A24" s="52" t="str">
        <f t="shared" si="0"/>
        <v>4519-370162</v>
      </c>
      <c r="B24" s="53" t="str">
        <f t="shared" si="1"/>
        <v>SERIE: MPP002LL3- POS QR -  VAUCHER N° 5031583 -  OP: 370162</v>
      </c>
      <c r="C24" s="21" t="s">
        <v>787</v>
      </c>
      <c r="D24" s="21" t="s">
        <v>26</v>
      </c>
      <c r="E24" s="21" t="s">
        <v>43</v>
      </c>
      <c r="F24" s="21" t="s">
        <v>28</v>
      </c>
      <c r="G24" s="21" t="s">
        <v>281</v>
      </c>
      <c r="H24" s="21" t="s">
        <v>847</v>
      </c>
      <c r="I24" s="21" t="s">
        <v>281</v>
      </c>
      <c r="J24" s="21" t="s">
        <v>281</v>
      </c>
      <c r="K24" s="21" t="s">
        <v>294</v>
      </c>
      <c r="L24" s="21" t="s">
        <v>32</v>
      </c>
      <c r="M24" s="22">
        <v>30</v>
      </c>
      <c r="N24" s="22">
        <v>0.89</v>
      </c>
      <c r="O24" s="22">
        <v>0.16</v>
      </c>
      <c r="P24" s="22">
        <v>28.95</v>
      </c>
      <c r="Q24" s="22">
        <v>171.69</v>
      </c>
      <c r="R24" s="21" t="s">
        <v>848</v>
      </c>
      <c r="S24" s="21" t="s">
        <v>798</v>
      </c>
      <c r="T24" s="21">
        <v>5031583</v>
      </c>
      <c r="U24" s="21" t="s">
        <v>36</v>
      </c>
      <c r="V24" s="21" t="s">
        <v>849</v>
      </c>
      <c r="W24" s="21">
        <v>370162</v>
      </c>
      <c r="X24" s="21"/>
      <c r="Y24" s="21"/>
      <c r="Z24" s="19">
        <v>604</v>
      </c>
      <c r="AA24" s="19" t="s">
        <v>799</v>
      </c>
    </row>
    <row r="25" spans="1:27" x14ac:dyDescent="0.25">
      <c r="A25" s="52" t="str">
        <f t="shared" si="0"/>
        <v>4519-944093</v>
      </c>
      <c r="B25" s="53" t="str">
        <f t="shared" si="1"/>
        <v>SERIE: FD894553- POS CHIP EMV -  VAUCHER N° 0000204 -  OP: 944093</v>
      </c>
      <c r="C25" s="21" t="s">
        <v>787</v>
      </c>
      <c r="D25" s="21" t="s">
        <v>26</v>
      </c>
      <c r="E25" s="21" t="s">
        <v>551</v>
      </c>
      <c r="F25" s="21" t="s">
        <v>28</v>
      </c>
      <c r="G25" s="21" t="s">
        <v>281</v>
      </c>
      <c r="H25" s="21" t="s">
        <v>850</v>
      </c>
      <c r="I25" s="21" t="s">
        <v>281</v>
      </c>
      <c r="J25" s="21" t="s">
        <v>281</v>
      </c>
      <c r="K25" s="21" t="s">
        <v>294</v>
      </c>
      <c r="L25" s="21" t="s">
        <v>32</v>
      </c>
      <c r="M25" s="22">
        <v>70</v>
      </c>
      <c r="N25" s="22">
        <v>2.0699999999999998</v>
      </c>
      <c r="O25" s="22">
        <v>0.37</v>
      </c>
      <c r="P25" s="22">
        <v>67.56</v>
      </c>
      <c r="Q25" s="22">
        <v>0</v>
      </c>
      <c r="R25" s="21" t="s">
        <v>848</v>
      </c>
      <c r="S25" s="21" t="s">
        <v>771</v>
      </c>
      <c r="T25" s="21" t="s">
        <v>851</v>
      </c>
      <c r="U25" s="21" t="s">
        <v>36</v>
      </c>
      <c r="V25" s="21" t="s">
        <v>852</v>
      </c>
      <c r="W25" s="21">
        <v>944093</v>
      </c>
      <c r="X25" s="21"/>
      <c r="Y25" s="21"/>
      <c r="Z25" s="19">
        <v>604</v>
      </c>
      <c r="AA25" s="19" t="s">
        <v>792</v>
      </c>
    </row>
    <row r="26" spans="1:27" x14ac:dyDescent="0.25">
      <c r="A26" s="52" t="str">
        <f t="shared" si="0"/>
        <v>4519-266411</v>
      </c>
      <c r="B26" s="53" t="str">
        <f t="shared" si="1"/>
        <v>SERIE: FD894553- POS CONTACTLESS CHIP -  VAUCHER N° 0000202 -  OP: 266411</v>
      </c>
      <c r="C26" s="21" t="s">
        <v>787</v>
      </c>
      <c r="D26" s="21" t="s">
        <v>26</v>
      </c>
      <c r="E26" s="21" t="s">
        <v>27</v>
      </c>
      <c r="F26" s="21" t="s">
        <v>28</v>
      </c>
      <c r="G26" s="21" t="s">
        <v>281</v>
      </c>
      <c r="H26" s="21" t="s">
        <v>853</v>
      </c>
      <c r="I26" s="21" t="s">
        <v>281</v>
      </c>
      <c r="J26" s="21" t="s">
        <v>281</v>
      </c>
      <c r="K26" s="21" t="s">
        <v>294</v>
      </c>
      <c r="L26" s="21" t="s">
        <v>32</v>
      </c>
      <c r="M26" s="22">
        <v>55</v>
      </c>
      <c r="N26" s="22">
        <v>1.62</v>
      </c>
      <c r="O26" s="22">
        <v>0.28999999999999998</v>
      </c>
      <c r="P26" s="22">
        <v>53.09</v>
      </c>
      <c r="Q26" s="22">
        <v>0</v>
      </c>
      <c r="R26" s="21" t="s">
        <v>848</v>
      </c>
      <c r="S26" s="21" t="s">
        <v>771</v>
      </c>
      <c r="T26" s="21" t="s">
        <v>854</v>
      </c>
      <c r="U26" s="21" t="s">
        <v>36</v>
      </c>
      <c r="V26" s="21" t="s">
        <v>855</v>
      </c>
      <c r="W26" s="21">
        <v>266411</v>
      </c>
      <c r="X26" s="21"/>
      <c r="Y26" s="21"/>
      <c r="Z26" s="19">
        <v>604</v>
      </c>
      <c r="AA26" s="19" t="s">
        <v>792</v>
      </c>
    </row>
    <row r="27" spans="1:27" x14ac:dyDescent="0.25">
      <c r="A27" s="52" t="str">
        <f t="shared" si="0"/>
        <v>4519-224574</v>
      </c>
      <c r="B27" s="53" t="str">
        <f t="shared" si="1"/>
        <v>SERIE: FD894553- POS CONTACTLESS CHIP -  VAUCHER N° 0000200 -  OP: 224574</v>
      </c>
      <c r="C27" s="21" t="s">
        <v>787</v>
      </c>
      <c r="D27" s="21" t="s">
        <v>26</v>
      </c>
      <c r="E27" s="21" t="s">
        <v>27</v>
      </c>
      <c r="F27" s="21" t="s">
        <v>28</v>
      </c>
      <c r="G27" s="21" t="s">
        <v>281</v>
      </c>
      <c r="H27" s="21" t="s">
        <v>856</v>
      </c>
      <c r="I27" s="21" t="s">
        <v>281</v>
      </c>
      <c r="J27" s="21" t="s">
        <v>281</v>
      </c>
      <c r="K27" s="21" t="s">
        <v>294</v>
      </c>
      <c r="L27" s="21" t="s">
        <v>32</v>
      </c>
      <c r="M27" s="22">
        <v>8</v>
      </c>
      <c r="N27" s="22">
        <v>0.24</v>
      </c>
      <c r="O27" s="22">
        <v>0.04</v>
      </c>
      <c r="P27" s="22">
        <v>7.72</v>
      </c>
      <c r="Q27" s="22">
        <v>0</v>
      </c>
      <c r="R27" s="21" t="s">
        <v>848</v>
      </c>
      <c r="S27" s="21" t="s">
        <v>771</v>
      </c>
      <c r="T27" s="21" t="s">
        <v>857</v>
      </c>
      <c r="U27" s="21" t="s">
        <v>36</v>
      </c>
      <c r="V27" s="21" t="s">
        <v>858</v>
      </c>
      <c r="W27" s="21">
        <v>224574</v>
      </c>
      <c r="X27" s="21"/>
      <c r="Y27" s="21"/>
      <c r="Z27" s="19">
        <v>604</v>
      </c>
      <c r="AA27" s="19" t="s">
        <v>792</v>
      </c>
    </row>
    <row r="28" spans="1:27" x14ac:dyDescent="0.25">
      <c r="A28" s="52" t="str">
        <f t="shared" si="0"/>
        <v>4519-596067</v>
      </c>
      <c r="B28" s="53" t="str">
        <f t="shared" si="1"/>
        <v>SERIE: FD894553- POS CONTACTLESS CHIP -  VAUCHER N° 0000195 -  OP: 596067</v>
      </c>
      <c r="C28" s="21" t="s">
        <v>787</v>
      </c>
      <c r="D28" s="21" t="s">
        <v>26</v>
      </c>
      <c r="E28" s="21" t="s">
        <v>27</v>
      </c>
      <c r="F28" s="21" t="s">
        <v>28</v>
      </c>
      <c r="G28" s="21" t="s">
        <v>281</v>
      </c>
      <c r="H28" s="21" t="s">
        <v>859</v>
      </c>
      <c r="I28" s="21" t="s">
        <v>281</v>
      </c>
      <c r="J28" s="21" t="s">
        <v>281</v>
      </c>
      <c r="K28" s="21" t="s">
        <v>294</v>
      </c>
      <c r="L28" s="21" t="s">
        <v>32</v>
      </c>
      <c r="M28" s="22">
        <v>14.9</v>
      </c>
      <c r="N28" s="22">
        <v>0.44</v>
      </c>
      <c r="O28" s="22">
        <v>0.09</v>
      </c>
      <c r="P28" s="22">
        <v>14.37</v>
      </c>
      <c r="Q28" s="22">
        <v>0</v>
      </c>
      <c r="R28" s="21" t="s">
        <v>848</v>
      </c>
      <c r="S28" s="21" t="s">
        <v>771</v>
      </c>
      <c r="T28" s="21" t="s">
        <v>860</v>
      </c>
      <c r="U28" s="21" t="s">
        <v>36</v>
      </c>
      <c r="V28" s="21" t="s">
        <v>861</v>
      </c>
      <c r="W28" s="21">
        <v>596067</v>
      </c>
      <c r="X28" s="21"/>
      <c r="Y28" s="21"/>
      <c r="Z28" s="19">
        <v>604</v>
      </c>
      <c r="AA28" s="19" t="s">
        <v>792</v>
      </c>
    </row>
    <row r="29" spans="1:27" x14ac:dyDescent="0.25">
      <c r="A29" s="52" t="str">
        <f t="shared" si="0"/>
        <v>4519-213192</v>
      </c>
      <c r="B29" s="53" t="str">
        <f t="shared" si="1"/>
        <v>SERIE: FD894553- POS CONTACTLESS CHIP -  VAUCHER N° 0000209 -  OP: 213192</v>
      </c>
      <c r="C29" s="21" t="s">
        <v>787</v>
      </c>
      <c r="D29" s="21" t="s">
        <v>26</v>
      </c>
      <c r="E29" s="21" t="s">
        <v>27</v>
      </c>
      <c r="F29" s="21" t="s">
        <v>28</v>
      </c>
      <c r="G29" s="21" t="s">
        <v>294</v>
      </c>
      <c r="H29" s="21" t="s">
        <v>862</v>
      </c>
      <c r="I29" s="21" t="s">
        <v>294</v>
      </c>
      <c r="J29" s="21" t="s">
        <v>294</v>
      </c>
      <c r="K29" s="21" t="s">
        <v>323</v>
      </c>
      <c r="L29" s="21" t="s">
        <v>32</v>
      </c>
      <c r="M29" s="22">
        <v>25</v>
      </c>
      <c r="N29" s="22">
        <v>0.74</v>
      </c>
      <c r="O29" s="22">
        <v>0.13</v>
      </c>
      <c r="P29" s="22">
        <v>24.13</v>
      </c>
      <c r="Q29" s="22">
        <v>24.13</v>
      </c>
      <c r="R29" s="21" t="s">
        <v>863</v>
      </c>
      <c r="S29" s="21" t="s">
        <v>771</v>
      </c>
      <c r="T29" s="21" t="s">
        <v>864</v>
      </c>
      <c r="U29" s="21" t="s">
        <v>36</v>
      </c>
      <c r="V29" s="21" t="s">
        <v>865</v>
      </c>
      <c r="W29" s="21">
        <v>213192</v>
      </c>
      <c r="X29" s="21"/>
      <c r="Y29" s="21"/>
      <c r="Z29" s="19">
        <v>604</v>
      </c>
      <c r="AA29" s="19" t="s">
        <v>792</v>
      </c>
    </row>
    <row r="30" spans="1:27" x14ac:dyDescent="0.25">
      <c r="A30" s="52" t="str">
        <f t="shared" si="0"/>
        <v>4519-550902</v>
      </c>
      <c r="B30" s="53" t="str">
        <f t="shared" si="1"/>
        <v>SERIE: MPP002LL3- POS QR -  VAUCHER N° 2002750 -  OP: 550902</v>
      </c>
      <c r="C30" s="21" t="s">
        <v>787</v>
      </c>
      <c r="D30" s="21" t="s">
        <v>26</v>
      </c>
      <c r="E30" s="21" t="s">
        <v>43</v>
      </c>
      <c r="F30" s="21" t="s">
        <v>28</v>
      </c>
      <c r="G30" s="21" t="s">
        <v>323</v>
      </c>
      <c r="H30" s="21" t="s">
        <v>866</v>
      </c>
      <c r="I30" s="21" t="s">
        <v>323</v>
      </c>
      <c r="J30" s="21" t="s">
        <v>323</v>
      </c>
      <c r="K30" s="21" t="s">
        <v>337</v>
      </c>
      <c r="L30" s="21" t="s">
        <v>32</v>
      </c>
      <c r="M30" s="22">
        <v>91</v>
      </c>
      <c r="N30" s="22">
        <v>2.68</v>
      </c>
      <c r="O30" s="22">
        <v>0.48</v>
      </c>
      <c r="P30" s="22">
        <v>87.84</v>
      </c>
      <c r="Q30" s="22">
        <v>625.15</v>
      </c>
      <c r="R30" s="21" t="s">
        <v>867</v>
      </c>
      <c r="S30" s="21" t="s">
        <v>798</v>
      </c>
      <c r="T30" s="21">
        <v>2002750</v>
      </c>
      <c r="U30" s="21" t="s">
        <v>36</v>
      </c>
      <c r="V30" s="21" t="s">
        <v>868</v>
      </c>
      <c r="W30" s="21">
        <v>550902</v>
      </c>
      <c r="X30" s="21"/>
      <c r="Y30" s="21"/>
      <c r="Z30" s="19">
        <v>604</v>
      </c>
      <c r="AA30" s="19" t="s">
        <v>799</v>
      </c>
    </row>
    <row r="31" spans="1:27" x14ac:dyDescent="0.25">
      <c r="A31" s="52" t="str">
        <f t="shared" si="0"/>
        <v>4519-989026</v>
      </c>
      <c r="B31" s="53" t="str">
        <f t="shared" si="1"/>
        <v>SERIE: MPP002LL3- POS QR -  VAUCHER N° 3030502 -  OP: 989026</v>
      </c>
      <c r="C31" s="21" t="s">
        <v>787</v>
      </c>
      <c r="D31" s="21" t="s">
        <v>26</v>
      </c>
      <c r="E31" s="21" t="s">
        <v>43</v>
      </c>
      <c r="F31" s="21" t="s">
        <v>28</v>
      </c>
      <c r="G31" s="21" t="s">
        <v>323</v>
      </c>
      <c r="H31" s="21" t="s">
        <v>869</v>
      </c>
      <c r="I31" s="21" t="s">
        <v>323</v>
      </c>
      <c r="J31" s="21" t="s">
        <v>323</v>
      </c>
      <c r="K31" s="21" t="s">
        <v>337</v>
      </c>
      <c r="L31" s="21" t="s">
        <v>32</v>
      </c>
      <c r="M31" s="22">
        <v>8</v>
      </c>
      <c r="N31" s="22">
        <v>0.24</v>
      </c>
      <c r="O31" s="22">
        <v>0.04</v>
      </c>
      <c r="P31" s="22">
        <v>7.72</v>
      </c>
      <c r="Q31" s="22">
        <v>0</v>
      </c>
      <c r="R31" s="21" t="s">
        <v>867</v>
      </c>
      <c r="S31" s="21" t="s">
        <v>798</v>
      </c>
      <c r="T31" s="21">
        <v>3030502</v>
      </c>
      <c r="U31" s="21" t="s">
        <v>36</v>
      </c>
      <c r="V31" s="21" t="s">
        <v>870</v>
      </c>
      <c r="W31" s="21">
        <v>989026</v>
      </c>
      <c r="X31" s="21"/>
      <c r="Y31" s="21"/>
      <c r="Z31" s="19">
        <v>604</v>
      </c>
      <c r="AA31" s="19" t="s">
        <v>799</v>
      </c>
    </row>
    <row r="32" spans="1:27" x14ac:dyDescent="0.25">
      <c r="A32" s="52" t="str">
        <f t="shared" si="0"/>
        <v>4519-008213</v>
      </c>
      <c r="B32" s="53" t="str">
        <f t="shared" si="1"/>
        <v>SERIE: FD894553- POS CONTACTLESS CHIP -  VAUCHER N° 0000225 -  OP: 008213</v>
      </c>
      <c r="C32" s="21" t="s">
        <v>787</v>
      </c>
      <c r="D32" s="21" t="s">
        <v>26</v>
      </c>
      <c r="E32" s="21" t="s">
        <v>27</v>
      </c>
      <c r="F32" s="21" t="s">
        <v>28</v>
      </c>
      <c r="G32" s="21" t="s">
        <v>323</v>
      </c>
      <c r="H32" s="21" t="s">
        <v>871</v>
      </c>
      <c r="I32" s="21" t="s">
        <v>323</v>
      </c>
      <c r="J32" s="21" t="s">
        <v>323</v>
      </c>
      <c r="K32" s="21" t="s">
        <v>337</v>
      </c>
      <c r="L32" s="21" t="s">
        <v>32</v>
      </c>
      <c r="M32" s="22">
        <v>121.5</v>
      </c>
      <c r="N32" s="22">
        <v>4.8</v>
      </c>
      <c r="O32" s="22">
        <v>0.86</v>
      </c>
      <c r="P32" s="22">
        <v>115.84</v>
      </c>
      <c r="Q32" s="22">
        <v>0</v>
      </c>
      <c r="R32" s="21" t="s">
        <v>867</v>
      </c>
      <c r="S32" s="21" t="s">
        <v>771</v>
      </c>
      <c r="T32" s="21" t="s">
        <v>872</v>
      </c>
      <c r="U32" s="21" t="s">
        <v>36</v>
      </c>
      <c r="V32" s="21" t="s">
        <v>873</v>
      </c>
      <c r="W32" s="21" t="s">
        <v>874</v>
      </c>
      <c r="X32" s="21"/>
      <c r="Y32" s="21"/>
      <c r="Z32" s="19">
        <v>604</v>
      </c>
      <c r="AA32" s="19" t="s">
        <v>792</v>
      </c>
    </row>
    <row r="33" spans="1:27" x14ac:dyDescent="0.25">
      <c r="A33" s="52" t="str">
        <f t="shared" si="0"/>
        <v>4519-009136</v>
      </c>
      <c r="B33" s="53" t="str">
        <f t="shared" si="1"/>
        <v>SERIE: FD894553- POS CONTACTLESS CHIP -  VAUCHER N° 0000223 -  OP: 009136</v>
      </c>
      <c r="C33" s="21" t="s">
        <v>787</v>
      </c>
      <c r="D33" s="21" t="s">
        <v>26</v>
      </c>
      <c r="E33" s="21" t="s">
        <v>27</v>
      </c>
      <c r="F33" s="21" t="s">
        <v>28</v>
      </c>
      <c r="G33" s="21" t="s">
        <v>323</v>
      </c>
      <c r="H33" s="21" t="s">
        <v>875</v>
      </c>
      <c r="I33" s="21" t="s">
        <v>323</v>
      </c>
      <c r="J33" s="21" t="s">
        <v>323</v>
      </c>
      <c r="K33" s="21" t="s">
        <v>337</v>
      </c>
      <c r="L33" s="21" t="s">
        <v>32</v>
      </c>
      <c r="M33" s="22">
        <v>39.950000000000003</v>
      </c>
      <c r="N33" s="22">
        <v>1.58</v>
      </c>
      <c r="O33" s="22">
        <v>0.28000000000000003</v>
      </c>
      <c r="P33" s="22">
        <v>38.090000000000003</v>
      </c>
      <c r="Q33" s="22">
        <v>0</v>
      </c>
      <c r="R33" s="21" t="s">
        <v>867</v>
      </c>
      <c r="S33" s="21" t="s">
        <v>771</v>
      </c>
      <c r="T33" s="21" t="s">
        <v>876</v>
      </c>
      <c r="U33" s="21" t="s">
        <v>36</v>
      </c>
      <c r="V33" s="21" t="s">
        <v>877</v>
      </c>
      <c r="W33" s="21" t="s">
        <v>878</v>
      </c>
      <c r="X33" s="21"/>
      <c r="Y33" s="21"/>
      <c r="Z33" s="19">
        <v>604</v>
      </c>
      <c r="AA33" s="19" t="s">
        <v>792</v>
      </c>
    </row>
    <row r="34" spans="1:27" x14ac:dyDescent="0.25">
      <c r="A34" s="52" t="str">
        <f t="shared" si="0"/>
        <v>4519-009101</v>
      </c>
      <c r="B34" s="53" t="str">
        <f t="shared" si="1"/>
        <v>SERIE: FD894553- POS CONTACTLESS CHIP -  VAUCHER N° 0000221 -  OP: 009101</v>
      </c>
      <c r="C34" s="21" t="s">
        <v>787</v>
      </c>
      <c r="D34" s="21" t="s">
        <v>26</v>
      </c>
      <c r="E34" s="21" t="s">
        <v>27</v>
      </c>
      <c r="F34" s="21" t="s">
        <v>28</v>
      </c>
      <c r="G34" s="21" t="s">
        <v>323</v>
      </c>
      <c r="H34" s="21" t="s">
        <v>879</v>
      </c>
      <c r="I34" s="21" t="s">
        <v>323</v>
      </c>
      <c r="J34" s="21" t="s">
        <v>323</v>
      </c>
      <c r="K34" s="21" t="s">
        <v>337</v>
      </c>
      <c r="L34" s="21" t="s">
        <v>32</v>
      </c>
      <c r="M34" s="22">
        <v>157.1</v>
      </c>
      <c r="N34" s="22">
        <v>6.21</v>
      </c>
      <c r="O34" s="22">
        <v>1.1200000000000001</v>
      </c>
      <c r="P34" s="22">
        <v>149.77000000000001</v>
      </c>
      <c r="Q34" s="22">
        <v>0</v>
      </c>
      <c r="R34" s="21" t="s">
        <v>867</v>
      </c>
      <c r="S34" s="21" t="s">
        <v>771</v>
      </c>
      <c r="T34" s="21" t="s">
        <v>880</v>
      </c>
      <c r="U34" s="21" t="s">
        <v>36</v>
      </c>
      <c r="V34" s="21" t="s">
        <v>881</v>
      </c>
      <c r="W34" s="21" t="s">
        <v>882</v>
      </c>
      <c r="X34" s="21"/>
      <c r="Y34" s="21"/>
      <c r="Z34" s="19">
        <v>604</v>
      </c>
      <c r="AA34" s="19" t="s">
        <v>792</v>
      </c>
    </row>
    <row r="35" spans="1:27" x14ac:dyDescent="0.25">
      <c r="A35" s="52" t="str">
        <f t="shared" si="0"/>
        <v>4519-002639</v>
      </c>
      <c r="B35" s="53" t="str">
        <f t="shared" si="1"/>
        <v>SERIE: FD894553- POS CONTACTLESS CHIP -  VAUCHER N° 0000219 -  OP: 002639</v>
      </c>
      <c r="C35" s="21" t="s">
        <v>787</v>
      </c>
      <c r="D35" s="21" t="s">
        <v>26</v>
      </c>
      <c r="E35" s="21" t="s">
        <v>27</v>
      </c>
      <c r="F35" s="21" t="s">
        <v>28</v>
      </c>
      <c r="G35" s="21" t="s">
        <v>323</v>
      </c>
      <c r="H35" s="21" t="s">
        <v>883</v>
      </c>
      <c r="I35" s="21" t="s">
        <v>323</v>
      </c>
      <c r="J35" s="21" t="s">
        <v>323</v>
      </c>
      <c r="K35" s="21" t="s">
        <v>337</v>
      </c>
      <c r="L35" s="21" t="s">
        <v>32</v>
      </c>
      <c r="M35" s="22">
        <v>181.95</v>
      </c>
      <c r="N35" s="22">
        <v>7.19</v>
      </c>
      <c r="O35" s="22">
        <v>1.3</v>
      </c>
      <c r="P35" s="22">
        <v>173.46</v>
      </c>
      <c r="Q35" s="22">
        <v>0</v>
      </c>
      <c r="R35" s="21" t="s">
        <v>867</v>
      </c>
      <c r="S35" s="21" t="s">
        <v>771</v>
      </c>
      <c r="T35" s="21" t="s">
        <v>884</v>
      </c>
      <c r="U35" s="21" t="s">
        <v>36</v>
      </c>
      <c r="V35" s="21" t="s">
        <v>885</v>
      </c>
      <c r="W35" s="21" t="s">
        <v>886</v>
      </c>
      <c r="X35" s="21"/>
      <c r="Y35" s="21"/>
      <c r="Z35" s="19">
        <v>604</v>
      </c>
      <c r="AA35" s="19" t="s">
        <v>792</v>
      </c>
    </row>
    <row r="36" spans="1:27" x14ac:dyDescent="0.25">
      <c r="A36" s="52" t="str">
        <f t="shared" si="0"/>
        <v>4519-371169</v>
      </c>
      <c r="B36" s="53" t="str">
        <f t="shared" si="1"/>
        <v>SERIE: FD894553- POS CHIP EMV -  VAUCHER N° 0000214 -  OP: 371169</v>
      </c>
      <c r="C36" s="21" t="s">
        <v>787</v>
      </c>
      <c r="D36" s="21" t="s">
        <v>26</v>
      </c>
      <c r="E36" s="21" t="s">
        <v>551</v>
      </c>
      <c r="F36" s="21" t="s">
        <v>28</v>
      </c>
      <c r="G36" s="21" t="s">
        <v>323</v>
      </c>
      <c r="H36" s="21" t="s">
        <v>887</v>
      </c>
      <c r="I36" s="21" t="s">
        <v>323</v>
      </c>
      <c r="J36" s="21" t="s">
        <v>323</v>
      </c>
      <c r="K36" s="21" t="s">
        <v>337</v>
      </c>
      <c r="L36" s="21" t="s">
        <v>32</v>
      </c>
      <c r="M36" s="22">
        <v>55</v>
      </c>
      <c r="N36" s="22">
        <v>2.17</v>
      </c>
      <c r="O36" s="22">
        <v>0.4</v>
      </c>
      <c r="P36" s="22">
        <v>52.43</v>
      </c>
      <c r="Q36" s="22">
        <v>0</v>
      </c>
      <c r="R36" s="21" t="s">
        <v>867</v>
      </c>
      <c r="S36" s="21" t="s">
        <v>771</v>
      </c>
      <c r="T36" s="21" t="s">
        <v>888</v>
      </c>
      <c r="U36" s="21" t="s">
        <v>36</v>
      </c>
      <c r="V36" s="21" t="s">
        <v>889</v>
      </c>
      <c r="W36" s="21">
        <v>371169</v>
      </c>
      <c r="X36" s="21"/>
      <c r="Y36" s="21"/>
      <c r="Z36" s="19">
        <v>604</v>
      </c>
      <c r="AA36" s="19" t="s">
        <v>792</v>
      </c>
    </row>
    <row r="37" spans="1:27" x14ac:dyDescent="0.25">
      <c r="A37" s="52" t="str">
        <f t="shared" si="0"/>
        <v>4519-069223</v>
      </c>
      <c r="B37" s="53" t="str">
        <f t="shared" si="1"/>
        <v>SERIE: FD894553- POS QR -  VAUCHER N° 0000235 -  OP: 069223</v>
      </c>
      <c r="C37" s="21" t="s">
        <v>787</v>
      </c>
      <c r="D37" s="21" t="s">
        <v>26</v>
      </c>
      <c r="E37" s="21" t="s">
        <v>43</v>
      </c>
      <c r="F37" s="21" t="s">
        <v>28</v>
      </c>
      <c r="G37" s="21" t="s">
        <v>337</v>
      </c>
      <c r="H37" s="21" t="s">
        <v>890</v>
      </c>
      <c r="I37" s="21" t="s">
        <v>337</v>
      </c>
      <c r="J37" s="21" t="s">
        <v>337</v>
      </c>
      <c r="K37" s="21" t="s">
        <v>368</v>
      </c>
      <c r="L37" s="21" t="s">
        <v>32</v>
      </c>
      <c r="M37" s="22">
        <v>70.55</v>
      </c>
      <c r="N37" s="22">
        <v>2.08</v>
      </c>
      <c r="O37" s="22">
        <v>0.37</v>
      </c>
      <c r="P37" s="22">
        <v>68.099999999999994</v>
      </c>
      <c r="Q37" s="22">
        <v>100.09</v>
      </c>
      <c r="R37" s="21" t="s">
        <v>891</v>
      </c>
      <c r="S37" s="21">
        <v>65656565</v>
      </c>
      <c r="T37" s="21" t="s">
        <v>892</v>
      </c>
      <c r="U37" s="21" t="s">
        <v>63</v>
      </c>
      <c r="V37" s="21" t="s">
        <v>893</v>
      </c>
      <c r="W37" s="21" t="s">
        <v>894</v>
      </c>
      <c r="X37" s="21"/>
      <c r="Y37" s="21"/>
      <c r="Z37" s="19">
        <v>604</v>
      </c>
      <c r="AA37" s="19" t="s">
        <v>792</v>
      </c>
    </row>
    <row r="38" spans="1:27" x14ac:dyDescent="0.25">
      <c r="A38" s="52" t="str">
        <f t="shared" si="0"/>
        <v>4519-807018</v>
      </c>
      <c r="B38" s="53" t="str">
        <f t="shared" si="1"/>
        <v>SERIE: FD894553- POS CHIP EMV -  VAUCHER N° 0000233 -  OP: 807018</v>
      </c>
      <c r="C38" s="21" t="s">
        <v>787</v>
      </c>
      <c r="D38" s="21" t="s">
        <v>26</v>
      </c>
      <c r="E38" s="21" t="s">
        <v>551</v>
      </c>
      <c r="F38" s="21" t="s">
        <v>28</v>
      </c>
      <c r="G38" s="21" t="s">
        <v>337</v>
      </c>
      <c r="H38" s="21" t="s">
        <v>895</v>
      </c>
      <c r="I38" s="21" t="s">
        <v>337</v>
      </c>
      <c r="J38" s="21" t="s">
        <v>337</v>
      </c>
      <c r="K38" s="21" t="s">
        <v>368</v>
      </c>
      <c r="L38" s="21" t="s">
        <v>32</v>
      </c>
      <c r="M38" s="22">
        <v>33.15</v>
      </c>
      <c r="N38" s="22">
        <v>0.98</v>
      </c>
      <c r="O38" s="22">
        <v>0.18</v>
      </c>
      <c r="P38" s="22">
        <v>31.99</v>
      </c>
      <c r="Q38" s="22">
        <v>0</v>
      </c>
      <c r="R38" s="21" t="s">
        <v>891</v>
      </c>
      <c r="S38" s="21" t="s">
        <v>771</v>
      </c>
      <c r="T38" s="21" t="s">
        <v>896</v>
      </c>
      <c r="U38" s="21" t="s">
        <v>36</v>
      </c>
      <c r="V38" s="21" t="s">
        <v>897</v>
      </c>
      <c r="W38" s="21">
        <v>807018</v>
      </c>
      <c r="X38" s="21"/>
      <c r="Y38" s="21"/>
      <c r="Z38" s="19">
        <v>604</v>
      </c>
      <c r="AA38" s="19" t="s">
        <v>792</v>
      </c>
    </row>
    <row r="39" spans="1:27" x14ac:dyDescent="0.25">
      <c r="A39" s="52" t="str">
        <f t="shared" si="0"/>
        <v>4519-007737</v>
      </c>
      <c r="B39" s="53" t="str">
        <f t="shared" si="1"/>
        <v>SERIE: FD894553- POS CONTACTLESS CHIP -  VAUCHER N° 0000241 -  OP: 007737</v>
      </c>
      <c r="C39" s="21" t="s">
        <v>787</v>
      </c>
      <c r="D39" s="21" t="s">
        <v>26</v>
      </c>
      <c r="E39" s="21" t="s">
        <v>27</v>
      </c>
      <c r="F39" s="21" t="s">
        <v>28</v>
      </c>
      <c r="G39" s="21" t="s">
        <v>368</v>
      </c>
      <c r="H39" s="21" t="s">
        <v>898</v>
      </c>
      <c r="I39" s="21" t="s">
        <v>368</v>
      </c>
      <c r="J39" s="21" t="s">
        <v>368</v>
      </c>
      <c r="K39" s="21" t="s">
        <v>389</v>
      </c>
      <c r="L39" s="21" t="s">
        <v>32</v>
      </c>
      <c r="M39" s="22">
        <v>40</v>
      </c>
      <c r="N39" s="22">
        <v>1.58</v>
      </c>
      <c r="O39" s="22">
        <v>0.28000000000000003</v>
      </c>
      <c r="P39" s="22">
        <v>38.14</v>
      </c>
      <c r="Q39" s="22">
        <v>38.14</v>
      </c>
      <c r="R39" s="21" t="s">
        <v>899</v>
      </c>
      <c r="S39" s="21" t="s">
        <v>771</v>
      </c>
      <c r="T39" s="21" t="s">
        <v>900</v>
      </c>
      <c r="U39" s="21" t="s">
        <v>36</v>
      </c>
      <c r="V39" s="21" t="s">
        <v>901</v>
      </c>
      <c r="W39" s="21" t="s">
        <v>902</v>
      </c>
      <c r="X39" s="21"/>
      <c r="Y39" s="21"/>
      <c r="Z39" s="19">
        <v>604</v>
      </c>
      <c r="AA39" s="19" t="s">
        <v>792</v>
      </c>
    </row>
    <row r="40" spans="1:27" x14ac:dyDescent="0.25">
      <c r="A40" s="52" t="str">
        <f t="shared" si="0"/>
        <v>4519-452117</v>
      </c>
      <c r="B40" s="53" t="str">
        <f t="shared" si="1"/>
        <v>SERIE: MPP002LL3- POS QR -  VAUCHER N° 7000306 -  OP: 452117</v>
      </c>
      <c r="C40" s="21" t="s">
        <v>787</v>
      </c>
      <c r="D40" s="21" t="s">
        <v>26</v>
      </c>
      <c r="E40" s="21" t="s">
        <v>43</v>
      </c>
      <c r="F40" s="21" t="s">
        <v>28</v>
      </c>
      <c r="G40" s="21" t="s">
        <v>408</v>
      </c>
      <c r="H40" s="21" t="s">
        <v>903</v>
      </c>
      <c r="I40" s="21" t="s">
        <v>408</v>
      </c>
      <c r="J40" s="21" t="s">
        <v>408</v>
      </c>
      <c r="K40" s="21" t="s">
        <v>412</v>
      </c>
      <c r="L40" s="21" t="s">
        <v>32</v>
      </c>
      <c r="M40" s="22">
        <v>150.30000000000001</v>
      </c>
      <c r="N40" s="22">
        <v>4.43</v>
      </c>
      <c r="O40" s="22">
        <v>0.8</v>
      </c>
      <c r="P40" s="22">
        <v>145.07</v>
      </c>
      <c r="Q40" s="22">
        <v>294.32</v>
      </c>
      <c r="R40" s="21" t="s">
        <v>904</v>
      </c>
      <c r="S40" s="21" t="s">
        <v>798</v>
      </c>
      <c r="T40" s="21">
        <v>7000306</v>
      </c>
      <c r="U40" s="21" t="s">
        <v>36</v>
      </c>
      <c r="V40" s="21" t="s">
        <v>253</v>
      </c>
      <c r="W40" s="21">
        <v>452117</v>
      </c>
      <c r="X40" s="21"/>
      <c r="Y40" s="21"/>
      <c r="Z40" s="19">
        <v>604</v>
      </c>
      <c r="AA40" s="19" t="s">
        <v>799</v>
      </c>
    </row>
    <row r="41" spans="1:27" x14ac:dyDescent="0.25">
      <c r="A41" s="52" t="str">
        <f t="shared" si="0"/>
        <v>4519-838891</v>
      </c>
      <c r="B41" s="53" t="str">
        <f t="shared" si="1"/>
        <v>SERIE: FD894553- POS CONTACTLESS CHIP -  VAUCHER N° 0000257 -  OP: 838891</v>
      </c>
      <c r="C41" s="21" t="s">
        <v>787</v>
      </c>
      <c r="D41" s="21" t="s">
        <v>26</v>
      </c>
      <c r="E41" s="21" t="s">
        <v>27</v>
      </c>
      <c r="F41" s="21" t="s">
        <v>28</v>
      </c>
      <c r="G41" s="21" t="s">
        <v>408</v>
      </c>
      <c r="H41" s="21" t="s">
        <v>905</v>
      </c>
      <c r="I41" s="21" t="s">
        <v>408</v>
      </c>
      <c r="J41" s="21" t="s">
        <v>408</v>
      </c>
      <c r="K41" s="21" t="s">
        <v>412</v>
      </c>
      <c r="L41" s="21" t="s">
        <v>32</v>
      </c>
      <c r="M41" s="22">
        <v>8</v>
      </c>
      <c r="N41" s="22">
        <v>0.24</v>
      </c>
      <c r="O41" s="22">
        <v>0.04</v>
      </c>
      <c r="P41" s="22">
        <v>7.72</v>
      </c>
      <c r="Q41" s="22">
        <v>0</v>
      </c>
      <c r="R41" s="21" t="s">
        <v>904</v>
      </c>
      <c r="S41" s="21" t="s">
        <v>771</v>
      </c>
      <c r="T41" s="21" t="s">
        <v>906</v>
      </c>
      <c r="U41" s="21" t="s">
        <v>36</v>
      </c>
      <c r="V41" s="21" t="s">
        <v>791</v>
      </c>
      <c r="W41" s="21">
        <v>838891</v>
      </c>
      <c r="X41" s="21"/>
      <c r="Y41" s="21"/>
      <c r="Z41" s="19">
        <v>604</v>
      </c>
      <c r="AA41" s="19" t="s">
        <v>792</v>
      </c>
    </row>
    <row r="42" spans="1:27" x14ac:dyDescent="0.25">
      <c r="A42" s="52" t="str">
        <f t="shared" si="0"/>
        <v>4519-828686</v>
      </c>
      <c r="B42" s="53" t="str">
        <f t="shared" si="1"/>
        <v>SERIE: FD894553- POS CONTACTLESS CHIP -  VAUCHER N° 0000255 -  OP: 828686</v>
      </c>
      <c r="C42" s="21" t="s">
        <v>787</v>
      </c>
      <c r="D42" s="21" t="s">
        <v>26</v>
      </c>
      <c r="E42" s="21" t="s">
        <v>27</v>
      </c>
      <c r="F42" s="21" t="s">
        <v>28</v>
      </c>
      <c r="G42" s="21" t="s">
        <v>408</v>
      </c>
      <c r="H42" s="21" t="s">
        <v>907</v>
      </c>
      <c r="I42" s="21" t="s">
        <v>408</v>
      </c>
      <c r="J42" s="21" t="s">
        <v>408</v>
      </c>
      <c r="K42" s="21" t="s">
        <v>412</v>
      </c>
      <c r="L42" s="21" t="s">
        <v>32</v>
      </c>
      <c r="M42" s="22">
        <v>8</v>
      </c>
      <c r="N42" s="22">
        <v>0.24</v>
      </c>
      <c r="O42" s="22">
        <v>0.04</v>
      </c>
      <c r="P42" s="22">
        <v>7.72</v>
      </c>
      <c r="Q42" s="22">
        <v>0</v>
      </c>
      <c r="R42" s="21" t="s">
        <v>904</v>
      </c>
      <c r="S42" s="21" t="s">
        <v>771</v>
      </c>
      <c r="T42" s="21" t="s">
        <v>908</v>
      </c>
      <c r="U42" s="21" t="s">
        <v>36</v>
      </c>
      <c r="V42" s="21" t="s">
        <v>791</v>
      </c>
      <c r="W42" s="21">
        <v>828686</v>
      </c>
      <c r="X42" s="21"/>
      <c r="Y42" s="21"/>
      <c r="Z42" s="19">
        <v>604</v>
      </c>
      <c r="AA42" s="19" t="s">
        <v>792</v>
      </c>
    </row>
    <row r="43" spans="1:27" x14ac:dyDescent="0.25">
      <c r="A43" s="52" t="str">
        <f t="shared" si="0"/>
        <v>4519-765949</v>
      </c>
      <c r="B43" s="53" t="str">
        <f t="shared" si="1"/>
        <v>SERIE: FD894553- POS CONTACTLESS CHIP -  VAUCHER N° 0000253 -  OP: 765949</v>
      </c>
      <c r="C43" s="21" t="s">
        <v>787</v>
      </c>
      <c r="D43" s="21" t="s">
        <v>26</v>
      </c>
      <c r="E43" s="21" t="s">
        <v>27</v>
      </c>
      <c r="F43" s="21" t="s">
        <v>28</v>
      </c>
      <c r="G43" s="21" t="s">
        <v>408</v>
      </c>
      <c r="H43" s="21" t="s">
        <v>909</v>
      </c>
      <c r="I43" s="21" t="s">
        <v>408</v>
      </c>
      <c r="J43" s="21" t="s">
        <v>408</v>
      </c>
      <c r="K43" s="21" t="s">
        <v>412</v>
      </c>
      <c r="L43" s="21" t="s">
        <v>32</v>
      </c>
      <c r="M43" s="22">
        <v>30</v>
      </c>
      <c r="N43" s="22">
        <v>0.89</v>
      </c>
      <c r="O43" s="22">
        <v>0.16</v>
      </c>
      <c r="P43" s="22">
        <v>28.95</v>
      </c>
      <c r="Q43" s="22">
        <v>0</v>
      </c>
      <c r="R43" s="21" t="s">
        <v>904</v>
      </c>
      <c r="S43" s="21" t="s">
        <v>771</v>
      </c>
      <c r="T43" s="21" t="s">
        <v>910</v>
      </c>
      <c r="U43" s="21" t="s">
        <v>36</v>
      </c>
      <c r="V43" s="21" t="s">
        <v>791</v>
      </c>
      <c r="W43" s="21">
        <v>765949</v>
      </c>
      <c r="X43" s="21"/>
      <c r="Y43" s="21"/>
      <c r="Z43" s="19">
        <v>604</v>
      </c>
      <c r="AA43" s="19" t="s">
        <v>792</v>
      </c>
    </row>
    <row r="44" spans="1:27" x14ac:dyDescent="0.25">
      <c r="A44" s="52" t="str">
        <f t="shared" si="0"/>
        <v>4519-020775</v>
      </c>
      <c r="B44" s="53" t="str">
        <f t="shared" si="1"/>
        <v>SERIE: FD894553- POS CONTACTLESS CHIP -  VAUCHER N° 0000248 -  OP: 020775</v>
      </c>
      <c r="C44" s="21" t="s">
        <v>787</v>
      </c>
      <c r="D44" s="21" t="s">
        <v>26</v>
      </c>
      <c r="E44" s="21" t="s">
        <v>27</v>
      </c>
      <c r="F44" s="21" t="s">
        <v>28</v>
      </c>
      <c r="G44" s="21" t="s">
        <v>408</v>
      </c>
      <c r="H44" s="21" t="s">
        <v>911</v>
      </c>
      <c r="I44" s="21" t="s">
        <v>408</v>
      </c>
      <c r="J44" s="21" t="s">
        <v>408</v>
      </c>
      <c r="K44" s="21" t="s">
        <v>412</v>
      </c>
      <c r="L44" s="21" t="s">
        <v>32</v>
      </c>
      <c r="M44" s="22">
        <v>110</v>
      </c>
      <c r="N44" s="22">
        <v>4.3499999999999996</v>
      </c>
      <c r="O44" s="22">
        <v>0.79</v>
      </c>
      <c r="P44" s="22">
        <v>104.86</v>
      </c>
      <c r="Q44" s="22">
        <v>0</v>
      </c>
      <c r="R44" s="21" t="s">
        <v>904</v>
      </c>
      <c r="S44" s="21" t="s">
        <v>771</v>
      </c>
      <c r="T44" s="21" t="s">
        <v>912</v>
      </c>
      <c r="U44" s="21" t="s">
        <v>63</v>
      </c>
      <c r="V44" s="21" t="s">
        <v>913</v>
      </c>
      <c r="W44" s="21" t="s">
        <v>914</v>
      </c>
      <c r="X44" s="21"/>
      <c r="Y44" s="21"/>
      <c r="Z44" s="19">
        <v>604</v>
      </c>
      <c r="AA44" s="19" t="s">
        <v>792</v>
      </c>
    </row>
    <row r="45" spans="1:27" x14ac:dyDescent="0.25">
      <c r="A45" s="52" t="str">
        <f t="shared" si="0"/>
        <v>4519-206533</v>
      </c>
      <c r="B45" s="53" t="str">
        <f t="shared" si="1"/>
        <v>SERIE: MPP002LL3- POS QR -  VAUCHER N° 4020144 -  OP: 206533</v>
      </c>
      <c r="C45" s="21" t="s">
        <v>787</v>
      </c>
      <c r="D45" s="21" t="s">
        <v>26</v>
      </c>
      <c r="E45" s="21" t="s">
        <v>43</v>
      </c>
      <c r="F45" s="21" t="s">
        <v>28</v>
      </c>
      <c r="G45" s="21" t="s">
        <v>424</v>
      </c>
      <c r="H45" s="21" t="s">
        <v>915</v>
      </c>
      <c r="I45" s="21" t="s">
        <v>424</v>
      </c>
      <c r="J45" s="21" t="s">
        <v>424</v>
      </c>
      <c r="K45" s="21" t="s">
        <v>412</v>
      </c>
      <c r="L45" s="21" t="s">
        <v>32</v>
      </c>
      <c r="M45" s="22">
        <v>67.5</v>
      </c>
      <c r="N45" s="22">
        <v>1.99</v>
      </c>
      <c r="O45" s="22">
        <v>0.36</v>
      </c>
      <c r="P45" s="22">
        <v>65.150000000000006</v>
      </c>
      <c r="Q45" s="22">
        <v>531.59</v>
      </c>
      <c r="R45" s="21" t="s">
        <v>916</v>
      </c>
      <c r="S45" s="21" t="s">
        <v>798</v>
      </c>
      <c r="T45" s="21">
        <v>4020144</v>
      </c>
      <c r="U45" s="21" t="s">
        <v>36</v>
      </c>
      <c r="V45" s="21" t="s">
        <v>917</v>
      </c>
      <c r="W45" s="21">
        <v>206533</v>
      </c>
      <c r="X45" s="21"/>
      <c r="Y45" s="21"/>
      <c r="Z45" s="19">
        <v>604</v>
      </c>
      <c r="AA45" s="19" t="s">
        <v>799</v>
      </c>
    </row>
    <row r="46" spans="1:27" x14ac:dyDescent="0.25">
      <c r="A46" s="52" t="str">
        <f t="shared" si="0"/>
        <v>4519-317145</v>
      </c>
      <c r="B46" s="53" t="str">
        <f t="shared" si="1"/>
        <v>SERIE: MPP002LL3- POS QR -  VAUCHER N° 4002275 -  OP: 317145</v>
      </c>
      <c r="C46" s="21" t="s">
        <v>787</v>
      </c>
      <c r="D46" s="21" t="s">
        <v>26</v>
      </c>
      <c r="E46" s="21" t="s">
        <v>43</v>
      </c>
      <c r="F46" s="21" t="s">
        <v>28</v>
      </c>
      <c r="G46" s="21" t="s">
        <v>424</v>
      </c>
      <c r="H46" s="21" t="s">
        <v>918</v>
      </c>
      <c r="I46" s="21" t="s">
        <v>424</v>
      </c>
      <c r="J46" s="21" t="s">
        <v>424</v>
      </c>
      <c r="K46" s="21" t="s">
        <v>412</v>
      </c>
      <c r="L46" s="21" t="s">
        <v>32</v>
      </c>
      <c r="M46" s="22">
        <v>102</v>
      </c>
      <c r="N46" s="22">
        <v>3.01</v>
      </c>
      <c r="O46" s="22">
        <v>0.54</v>
      </c>
      <c r="P46" s="22">
        <v>98.45</v>
      </c>
      <c r="Q46" s="22">
        <v>0</v>
      </c>
      <c r="R46" s="21" t="s">
        <v>916</v>
      </c>
      <c r="S46" s="21" t="s">
        <v>798</v>
      </c>
      <c r="T46" s="21">
        <v>4002275</v>
      </c>
      <c r="U46" s="21" t="s">
        <v>36</v>
      </c>
      <c r="V46" s="21" t="s">
        <v>919</v>
      </c>
      <c r="W46" s="21">
        <v>317145</v>
      </c>
      <c r="X46" s="21"/>
      <c r="Y46" s="21"/>
      <c r="Z46" s="19">
        <v>604</v>
      </c>
      <c r="AA46" s="19" t="s">
        <v>799</v>
      </c>
    </row>
    <row r="47" spans="1:27" x14ac:dyDescent="0.25">
      <c r="A47" s="52" t="str">
        <f t="shared" si="0"/>
        <v>4519-038154</v>
      </c>
      <c r="B47" s="53" t="str">
        <f t="shared" si="1"/>
        <v>SERIE: MPP002LL3- POS QR -  VAUCHER N° 4038057 -  OP: 038154</v>
      </c>
      <c r="C47" s="21" t="s">
        <v>787</v>
      </c>
      <c r="D47" s="21" t="s">
        <v>26</v>
      </c>
      <c r="E47" s="21" t="s">
        <v>43</v>
      </c>
      <c r="F47" s="21" t="s">
        <v>28</v>
      </c>
      <c r="G47" s="21" t="s">
        <v>424</v>
      </c>
      <c r="H47" s="21" t="s">
        <v>920</v>
      </c>
      <c r="I47" s="21" t="s">
        <v>424</v>
      </c>
      <c r="J47" s="21" t="s">
        <v>424</v>
      </c>
      <c r="K47" s="21" t="s">
        <v>412</v>
      </c>
      <c r="L47" s="21" t="s">
        <v>32</v>
      </c>
      <c r="M47" s="22">
        <v>135.16999999999999</v>
      </c>
      <c r="N47" s="22">
        <v>3.99</v>
      </c>
      <c r="O47" s="22">
        <v>0.72</v>
      </c>
      <c r="P47" s="22">
        <v>130.46</v>
      </c>
      <c r="Q47" s="22">
        <v>0</v>
      </c>
      <c r="R47" s="21" t="s">
        <v>916</v>
      </c>
      <c r="S47" s="21" t="s">
        <v>798</v>
      </c>
      <c r="T47" s="21">
        <v>4038057</v>
      </c>
      <c r="U47" s="21" t="s">
        <v>36</v>
      </c>
      <c r="V47" s="21" t="s">
        <v>921</v>
      </c>
      <c r="W47" s="21" t="s">
        <v>922</v>
      </c>
      <c r="X47" s="21"/>
      <c r="Y47" s="21"/>
      <c r="Z47" s="19">
        <v>604</v>
      </c>
      <c r="AA47" s="19" t="s">
        <v>799</v>
      </c>
    </row>
    <row r="48" spans="1:27" x14ac:dyDescent="0.25">
      <c r="A48" s="52" t="str">
        <f t="shared" si="0"/>
        <v>4519-392681</v>
      </c>
      <c r="B48" s="53" t="str">
        <f t="shared" si="1"/>
        <v>SERIE: MPP002LL3- POS QR -  VAUCHER N° 4048044 -  OP: 392681</v>
      </c>
      <c r="C48" s="21" t="s">
        <v>787</v>
      </c>
      <c r="D48" s="21" t="s">
        <v>26</v>
      </c>
      <c r="E48" s="21" t="s">
        <v>43</v>
      </c>
      <c r="F48" s="21" t="s">
        <v>28</v>
      </c>
      <c r="G48" s="21" t="s">
        <v>424</v>
      </c>
      <c r="H48" s="21" t="s">
        <v>923</v>
      </c>
      <c r="I48" s="21" t="s">
        <v>424</v>
      </c>
      <c r="J48" s="21" t="s">
        <v>424</v>
      </c>
      <c r="K48" s="21" t="s">
        <v>412</v>
      </c>
      <c r="L48" s="21" t="s">
        <v>32</v>
      </c>
      <c r="M48" s="22">
        <v>84.16</v>
      </c>
      <c r="N48" s="22">
        <v>2.48</v>
      </c>
      <c r="O48" s="22">
        <v>0.45</v>
      </c>
      <c r="P48" s="22">
        <v>81.23</v>
      </c>
      <c r="Q48" s="22">
        <v>0</v>
      </c>
      <c r="R48" s="21" t="s">
        <v>916</v>
      </c>
      <c r="S48" s="21" t="s">
        <v>798</v>
      </c>
      <c r="T48" s="21">
        <v>4048044</v>
      </c>
      <c r="U48" s="21" t="s">
        <v>36</v>
      </c>
      <c r="V48" s="21" t="s">
        <v>924</v>
      </c>
      <c r="W48" s="21">
        <v>392681</v>
      </c>
      <c r="X48" s="21"/>
      <c r="Y48" s="21"/>
      <c r="Z48" s="19">
        <v>604</v>
      </c>
      <c r="AA48" s="19" t="s">
        <v>799</v>
      </c>
    </row>
    <row r="49" spans="1:27" x14ac:dyDescent="0.25">
      <c r="A49" s="52" t="str">
        <f t="shared" si="0"/>
        <v>4519-063543</v>
      </c>
      <c r="B49" s="53" t="str">
        <f t="shared" si="1"/>
        <v>SERIE: FD894553- POS QR -  VAUCHER N° 0000265 -  OP: 063543</v>
      </c>
      <c r="C49" s="21" t="s">
        <v>787</v>
      </c>
      <c r="D49" s="21" t="s">
        <v>26</v>
      </c>
      <c r="E49" s="21" t="s">
        <v>43</v>
      </c>
      <c r="F49" s="21" t="s">
        <v>28</v>
      </c>
      <c r="G49" s="21" t="s">
        <v>424</v>
      </c>
      <c r="H49" s="21" t="s">
        <v>925</v>
      </c>
      <c r="I49" s="21" t="s">
        <v>424</v>
      </c>
      <c r="J49" s="21" t="s">
        <v>424</v>
      </c>
      <c r="K49" s="21" t="s">
        <v>412</v>
      </c>
      <c r="L49" s="21" t="s">
        <v>32</v>
      </c>
      <c r="M49" s="22">
        <v>129.63</v>
      </c>
      <c r="N49" s="22">
        <v>3.82</v>
      </c>
      <c r="O49" s="22">
        <v>0.69</v>
      </c>
      <c r="P49" s="22">
        <v>125.12</v>
      </c>
      <c r="Q49" s="22">
        <v>0</v>
      </c>
      <c r="R49" s="21" t="s">
        <v>916</v>
      </c>
      <c r="S49" s="21">
        <v>65656565</v>
      </c>
      <c r="T49" s="21" t="s">
        <v>926</v>
      </c>
      <c r="U49" s="21" t="s">
        <v>63</v>
      </c>
      <c r="V49" s="21" t="s">
        <v>893</v>
      </c>
      <c r="W49" s="21" t="s">
        <v>927</v>
      </c>
      <c r="X49" s="21"/>
      <c r="Y49" s="21"/>
      <c r="Z49" s="19">
        <v>604</v>
      </c>
      <c r="AA49" s="19" t="s">
        <v>792</v>
      </c>
    </row>
    <row r="50" spans="1:27" x14ac:dyDescent="0.25">
      <c r="A50" s="52" t="str">
        <f t="shared" si="0"/>
        <v>4519-630638</v>
      </c>
      <c r="B50" s="53" t="str">
        <f t="shared" si="1"/>
        <v>SERIE: FD894553- POS CHIP EMV -  VAUCHER N° 0000262 -  OP: 630638</v>
      </c>
      <c r="C50" s="21" t="s">
        <v>787</v>
      </c>
      <c r="D50" s="21" t="s">
        <v>26</v>
      </c>
      <c r="E50" s="21" t="s">
        <v>551</v>
      </c>
      <c r="F50" s="21" t="s">
        <v>28</v>
      </c>
      <c r="G50" s="21" t="s">
        <v>424</v>
      </c>
      <c r="H50" s="21" t="s">
        <v>928</v>
      </c>
      <c r="I50" s="21" t="s">
        <v>424</v>
      </c>
      <c r="J50" s="21" t="s">
        <v>424</v>
      </c>
      <c r="K50" s="21" t="s">
        <v>412</v>
      </c>
      <c r="L50" s="21" t="s">
        <v>32</v>
      </c>
      <c r="M50" s="22">
        <v>32.299999999999997</v>
      </c>
      <c r="N50" s="22">
        <v>0.95</v>
      </c>
      <c r="O50" s="22">
        <v>0.17</v>
      </c>
      <c r="P50" s="22">
        <v>31.18</v>
      </c>
      <c r="Q50" s="22">
        <v>0</v>
      </c>
      <c r="R50" s="21" t="s">
        <v>916</v>
      </c>
      <c r="S50" s="21" t="s">
        <v>771</v>
      </c>
      <c r="T50" s="21" t="s">
        <v>929</v>
      </c>
      <c r="U50" s="21" t="s">
        <v>36</v>
      </c>
      <c r="V50" s="21" t="s">
        <v>897</v>
      </c>
      <c r="W50" s="21">
        <v>630638</v>
      </c>
      <c r="X50" s="21"/>
      <c r="Y50" s="21"/>
      <c r="Z50" s="19">
        <v>604</v>
      </c>
      <c r="AA50" s="19" t="s">
        <v>792</v>
      </c>
    </row>
    <row r="51" spans="1:27" x14ac:dyDescent="0.25">
      <c r="A51" s="52" t="str">
        <f t="shared" si="0"/>
        <v>DIGO-CODIGO DE AUTORIZACION</v>
      </c>
      <c r="B51" s="53" t="str">
        <f t="shared" si="1"/>
        <v>SERIE: SERIE TERMINAL- TIPO DE CAPTURA -  VAUCHER N° NUM DE REF (VOUCHER) -  OP: CODIGO DE AUTORIZACION</v>
      </c>
      <c r="C51" s="24" t="s">
        <v>0</v>
      </c>
      <c r="D51" s="24" t="s">
        <v>1</v>
      </c>
      <c r="E51" s="24" t="s">
        <v>2</v>
      </c>
      <c r="F51" s="24" t="s">
        <v>3</v>
      </c>
      <c r="G51" s="24" t="s">
        <v>4</v>
      </c>
      <c r="H51" s="24" t="s">
        <v>5</v>
      </c>
      <c r="I51" s="24" t="s">
        <v>6</v>
      </c>
      <c r="J51" s="24" t="s">
        <v>7</v>
      </c>
      <c r="K51" s="24" t="s">
        <v>8</v>
      </c>
      <c r="L51" s="24" t="s">
        <v>9</v>
      </c>
      <c r="M51" s="24" t="s">
        <v>10</v>
      </c>
      <c r="N51" s="24" t="s">
        <v>11</v>
      </c>
      <c r="O51" s="24" t="s">
        <v>12</v>
      </c>
      <c r="P51" s="24" t="s">
        <v>13</v>
      </c>
      <c r="Q51" s="24" t="s">
        <v>14</v>
      </c>
      <c r="R51" s="24" t="s">
        <v>15</v>
      </c>
      <c r="S51" s="24" t="s">
        <v>16</v>
      </c>
      <c r="T51" s="24" t="s">
        <v>17</v>
      </c>
      <c r="U51" s="24" t="s">
        <v>18</v>
      </c>
      <c r="V51" s="24" t="s">
        <v>19</v>
      </c>
      <c r="W51" s="24" t="s">
        <v>20</v>
      </c>
      <c r="X51" s="24" t="s">
        <v>21</v>
      </c>
      <c r="Y51" s="24" t="s">
        <v>22</v>
      </c>
      <c r="Z51" s="24" t="s">
        <v>23</v>
      </c>
      <c r="AA51" s="24" t="s">
        <v>24</v>
      </c>
    </row>
    <row r="52" spans="1:27" x14ac:dyDescent="0.25">
      <c r="A52" s="52" t="str">
        <f t="shared" si="0"/>
        <v>6659-057127</v>
      </c>
      <c r="B52" s="53" t="str">
        <f t="shared" si="1"/>
        <v>SERIE: FD8B1473- POS CONTACTLESS CHIP -  VAUCHER N° 0000242 -  OP: 057127</v>
      </c>
      <c r="C52" s="25" t="s">
        <v>930</v>
      </c>
      <c r="D52" s="25" t="s">
        <v>26</v>
      </c>
      <c r="E52" s="25" t="s">
        <v>27</v>
      </c>
      <c r="F52" s="25" t="s">
        <v>28</v>
      </c>
      <c r="G52" s="25" t="s">
        <v>29</v>
      </c>
      <c r="H52" s="25" t="s">
        <v>931</v>
      </c>
      <c r="I52" s="25" t="s">
        <v>29</v>
      </c>
      <c r="J52" s="25" t="s">
        <v>29</v>
      </c>
      <c r="K52" s="25" t="s">
        <v>31</v>
      </c>
      <c r="L52" s="25" t="s">
        <v>32</v>
      </c>
      <c r="M52" s="26">
        <v>304.5</v>
      </c>
      <c r="N52" s="26">
        <v>12.03</v>
      </c>
      <c r="O52" s="26">
        <v>2.17</v>
      </c>
      <c r="P52" s="26">
        <v>290.3</v>
      </c>
      <c r="Q52" s="26">
        <v>848.03</v>
      </c>
      <c r="R52" s="25" t="s">
        <v>932</v>
      </c>
      <c r="S52" s="25" t="s">
        <v>771</v>
      </c>
      <c r="T52" s="25" t="s">
        <v>933</v>
      </c>
      <c r="U52" s="25" t="s">
        <v>36</v>
      </c>
      <c r="V52" s="25" t="s">
        <v>934</v>
      </c>
      <c r="W52" s="25" t="s">
        <v>935</v>
      </c>
      <c r="X52" s="25"/>
      <c r="Y52" s="25"/>
      <c r="Z52" s="23">
        <v>604</v>
      </c>
      <c r="AA52" s="23" t="s">
        <v>936</v>
      </c>
    </row>
    <row r="53" spans="1:27" x14ac:dyDescent="0.25">
      <c r="A53" s="52" t="str">
        <f t="shared" si="0"/>
        <v>6659-203361</v>
      </c>
      <c r="B53" s="53" t="str">
        <f t="shared" si="1"/>
        <v>SERIE: FD8B1473- POS CONTACTLESS CHIP -  VAUCHER N° 0000240 -  OP: 203361</v>
      </c>
      <c r="C53" s="25" t="s">
        <v>930</v>
      </c>
      <c r="D53" s="25" t="s">
        <v>26</v>
      </c>
      <c r="E53" s="25" t="s">
        <v>27</v>
      </c>
      <c r="F53" s="25" t="s">
        <v>28</v>
      </c>
      <c r="G53" s="25" t="s">
        <v>29</v>
      </c>
      <c r="H53" s="25" t="s">
        <v>937</v>
      </c>
      <c r="I53" s="25" t="s">
        <v>29</v>
      </c>
      <c r="J53" s="25" t="s">
        <v>29</v>
      </c>
      <c r="K53" s="25" t="s">
        <v>31</v>
      </c>
      <c r="L53" s="25" t="s">
        <v>32</v>
      </c>
      <c r="M53" s="26">
        <v>585</v>
      </c>
      <c r="N53" s="26">
        <v>23.11</v>
      </c>
      <c r="O53" s="26">
        <v>4.16</v>
      </c>
      <c r="P53" s="26">
        <v>557.73</v>
      </c>
      <c r="Q53" s="26">
        <v>0</v>
      </c>
      <c r="R53" s="25" t="s">
        <v>932</v>
      </c>
      <c r="S53" s="25" t="s">
        <v>771</v>
      </c>
      <c r="T53" s="25" t="s">
        <v>938</v>
      </c>
      <c r="U53" s="25" t="s">
        <v>36</v>
      </c>
      <c r="V53" s="25" t="s">
        <v>939</v>
      </c>
      <c r="W53" s="25">
        <v>203361</v>
      </c>
      <c r="X53" s="25"/>
      <c r="Y53" s="25"/>
      <c r="Z53" s="23">
        <v>604</v>
      </c>
      <c r="AA53" s="23" t="s">
        <v>936</v>
      </c>
    </row>
    <row r="54" spans="1:27" x14ac:dyDescent="0.25">
      <c r="A54" s="52" t="str">
        <f t="shared" si="0"/>
        <v>6659-124954</v>
      </c>
      <c r="B54" s="53" t="str">
        <f t="shared" si="1"/>
        <v>SERIE: PAYZEN- POS VIRTUAL -  VAUCHER N° 5888416 -  OP: 124954</v>
      </c>
      <c r="C54" s="25" t="s">
        <v>930</v>
      </c>
      <c r="D54" s="25" t="s">
        <v>26</v>
      </c>
      <c r="E54" s="25" t="s">
        <v>66</v>
      </c>
      <c r="F54" s="25" t="s">
        <v>28</v>
      </c>
      <c r="G54" s="25" t="s">
        <v>31</v>
      </c>
      <c r="H54" s="25" t="s">
        <v>940</v>
      </c>
      <c r="I54" s="25" t="s">
        <v>31</v>
      </c>
      <c r="J54" s="25" t="s">
        <v>31</v>
      </c>
      <c r="K54" s="25" t="s">
        <v>50</v>
      </c>
      <c r="L54" s="25" t="s">
        <v>32</v>
      </c>
      <c r="M54" s="26">
        <v>453.51</v>
      </c>
      <c r="N54" s="26">
        <v>17.91</v>
      </c>
      <c r="O54" s="26">
        <v>3.22</v>
      </c>
      <c r="P54" s="26">
        <v>432.38</v>
      </c>
      <c r="Q54" s="26">
        <v>1307.6400000000001</v>
      </c>
      <c r="R54" s="25"/>
      <c r="S54" s="25"/>
      <c r="T54" s="25">
        <v>5888416</v>
      </c>
      <c r="U54" s="25" t="s">
        <v>36</v>
      </c>
      <c r="V54" s="25" t="s">
        <v>941</v>
      </c>
      <c r="W54" s="25">
        <v>124954</v>
      </c>
      <c r="X54" s="25"/>
      <c r="Y54" s="25"/>
      <c r="Z54" s="23">
        <v>604</v>
      </c>
      <c r="AA54" s="23" t="s">
        <v>65</v>
      </c>
    </row>
    <row r="55" spans="1:27" x14ac:dyDescent="0.25">
      <c r="A55" s="52" t="str">
        <f t="shared" si="0"/>
        <v>6659-002444</v>
      </c>
      <c r="B55" s="53" t="str">
        <f t="shared" si="1"/>
        <v>SERIE: PAYZEN- POS VIRTUAL -  VAUCHER N° 5766028 -  OP: 002444</v>
      </c>
      <c r="C55" s="25" t="s">
        <v>930</v>
      </c>
      <c r="D55" s="25" t="s">
        <v>26</v>
      </c>
      <c r="E55" s="25" t="s">
        <v>66</v>
      </c>
      <c r="F55" s="25" t="s">
        <v>28</v>
      </c>
      <c r="G55" s="25" t="s">
        <v>31</v>
      </c>
      <c r="H55" s="25" t="s">
        <v>942</v>
      </c>
      <c r="I55" s="25" t="s">
        <v>31</v>
      </c>
      <c r="J55" s="25" t="s">
        <v>31</v>
      </c>
      <c r="K55" s="25" t="s">
        <v>50</v>
      </c>
      <c r="L55" s="25" t="s">
        <v>32</v>
      </c>
      <c r="M55" s="26">
        <v>675.05</v>
      </c>
      <c r="N55" s="26">
        <v>26.66</v>
      </c>
      <c r="O55" s="26">
        <v>4.8</v>
      </c>
      <c r="P55" s="26">
        <v>643.59</v>
      </c>
      <c r="Q55" s="26">
        <v>0</v>
      </c>
      <c r="R55" s="25"/>
      <c r="S55" s="25"/>
      <c r="T55" s="25">
        <v>5766028</v>
      </c>
      <c r="U55" s="25" t="s">
        <v>36</v>
      </c>
      <c r="V55" s="25" t="s">
        <v>943</v>
      </c>
      <c r="W55" s="25" t="s">
        <v>944</v>
      </c>
      <c r="X55" s="25"/>
      <c r="Y55" s="25"/>
      <c r="Z55" s="23">
        <v>604</v>
      </c>
      <c r="AA55" s="23" t="s">
        <v>65</v>
      </c>
    </row>
    <row r="56" spans="1:27" x14ac:dyDescent="0.25">
      <c r="A56" s="52" t="str">
        <f t="shared" si="0"/>
        <v>6659-007835</v>
      </c>
      <c r="B56" s="53" t="str">
        <f t="shared" si="1"/>
        <v>SERIE: PAYZEN- POS VIRTUAL -  VAUCHER N° 5304974 -  OP: 007835</v>
      </c>
      <c r="C56" s="25" t="s">
        <v>930</v>
      </c>
      <c r="D56" s="25" t="s">
        <v>26</v>
      </c>
      <c r="E56" s="25" t="s">
        <v>66</v>
      </c>
      <c r="F56" s="25" t="s">
        <v>28</v>
      </c>
      <c r="G56" s="25" t="s">
        <v>31</v>
      </c>
      <c r="H56" s="25" t="s">
        <v>945</v>
      </c>
      <c r="I56" s="25" t="s">
        <v>31</v>
      </c>
      <c r="J56" s="25" t="s">
        <v>31</v>
      </c>
      <c r="K56" s="25" t="s">
        <v>50</v>
      </c>
      <c r="L56" s="25" t="s">
        <v>32</v>
      </c>
      <c r="M56" s="26">
        <v>243</v>
      </c>
      <c r="N56" s="26">
        <v>9.6</v>
      </c>
      <c r="O56" s="26">
        <v>1.73</v>
      </c>
      <c r="P56" s="26">
        <v>231.67</v>
      </c>
      <c r="Q56" s="26">
        <v>0</v>
      </c>
      <c r="R56" s="25"/>
      <c r="S56" s="25"/>
      <c r="T56" s="25">
        <v>5304974</v>
      </c>
      <c r="U56" s="25" t="s">
        <v>36</v>
      </c>
      <c r="V56" s="25" t="s">
        <v>946</v>
      </c>
      <c r="W56" s="25" t="s">
        <v>947</v>
      </c>
      <c r="X56" s="25"/>
      <c r="Y56" s="25"/>
      <c r="Z56" s="23">
        <v>604</v>
      </c>
      <c r="AA56" s="23" t="s">
        <v>65</v>
      </c>
    </row>
    <row r="57" spans="1:27" x14ac:dyDescent="0.25">
      <c r="A57" s="52" t="str">
        <f t="shared" si="0"/>
        <v>6659-912347</v>
      </c>
      <c r="B57" s="53" t="str">
        <f t="shared" si="1"/>
        <v>SERIE: MPP002LL3- POS QR -  VAUCHER N° 1011782 -  OP: 912347</v>
      </c>
      <c r="C57" s="25" t="s">
        <v>930</v>
      </c>
      <c r="D57" s="25" t="s">
        <v>26</v>
      </c>
      <c r="E57" s="25" t="s">
        <v>43</v>
      </c>
      <c r="F57" s="25" t="s">
        <v>28</v>
      </c>
      <c r="G57" s="25" t="s">
        <v>50</v>
      </c>
      <c r="H57" s="25" t="s">
        <v>948</v>
      </c>
      <c r="I57" s="25" t="s">
        <v>71</v>
      </c>
      <c r="J57" s="25" t="s">
        <v>50</v>
      </c>
      <c r="K57" s="25" t="s">
        <v>71</v>
      </c>
      <c r="L57" s="25" t="s">
        <v>32</v>
      </c>
      <c r="M57" s="26">
        <v>243</v>
      </c>
      <c r="N57" s="26">
        <v>7.17</v>
      </c>
      <c r="O57" s="26">
        <v>1.29</v>
      </c>
      <c r="P57" s="26">
        <v>234.54</v>
      </c>
      <c r="Q57" s="26">
        <v>572.89</v>
      </c>
      <c r="R57" s="25" t="s">
        <v>949</v>
      </c>
      <c r="S57" s="25" t="s">
        <v>798</v>
      </c>
      <c r="T57" s="25">
        <v>1011782</v>
      </c>
      <c r="U57" s="25" t="s">
        <v>36</v>
      </c>
      <c r="V57" s="25" t="s">
        <v>950</v>
      </c>
      <c r="W57" s="25">
        <v>912347</v>
      </c>
      <c r="X57" s="25"/>
      <c r="Y57" s="25"/>
      <c r="Z57" s="23">
        <v>604</v>
      </c>
      <c r="AA57" s="23" t="s">
        <v>799</v>
      </c>
    </row>
    <row r="58" spans="1:27" x14ac:dyDescent="0.25">
      <c r="A58" s="52" t="str">
        <f t="shared" si="0"/>
        <v>6659-492300</v>
      </c>
      <c r="B58" s="53" t="str">
        <f t="shared" si="1"/>
        <v>SERIE: MPP002LL3- POS QR -  VAUCHER N° 7038376 -  OP: 492300</v>
      </c>
      <c r="C58" s="25" t="s">
        <v>930</v>
      </c>
      <c r="D58" s="25" t="s">
        <v>26</v>
      </c>
      <c r="E58" s="25" t="s">
        <v>43</v>
      </c>
      <c r="F58" s="25" t="s">
        <v>28</v>
      </c>
      <c r="G58" s="25" t="s">
        <v>50</v>
      </c>
      <c r="H58" s="25" t="s">
        <v>951</v>
      </c>
      <c r="I58" s="25" t="s">
        <v>71</v>
      </c>
      <c r="J58" s="25" t="s">
        <v>50</v>
      </c>
      <c r="K58" s="25" t="s">
        <v>71</v>
      </c>
      <c r="L58" s="25" t="s">
        <v>32</v>
      </c>
      <c r="M58" s="26">
        <v>72</v>
      </c>
      <c r="N58" s="26">
        <v>2.12</v>
      </c>
      <c r="O58" s="26">
        <v>0.38</v>
      </c>
      <c r="P58" s="26">
        <v>69.5</v>
      </c>
      <c r="Q58" s="26">
        <v>0</v>
      </c>
      <c r="R58" s="25" t="s">
        <v>949</v>
      </c>
      <c r="S58" s="25" t="s">
        <v>798</v>
      </c>
      <c r="T58" s="25">
        <v>7038376</v>
      </c>
      <c r="U58" s="25" t="s">
        <v>36</v>
      </c>
      <c r="V58" s="25" t="s">
        <v>952</v>
      </c>
      <c r="W58" s="25">
        <v>492300</v>
      </c>
      <c r="X58" s="25"/>
      <c r="Y58" s="25"/>
      <c r="Z58" s="23">
        <v>604</v>
      </c>
      <c r="AA58" s="23" t="s">
        <v>799</v>
      </c>
    </row>
    <row r="59" spans="1:27" x14ac:dyDescent="0.25">
      <c r="A59" s="52" t="str">
        <f t="shared" si="0"/>
        <v>6659-435885</v>
      </c>
      <c r="B59" s="53" t="str">
        <f t="shared" si="1"/>
        <v>SERIE: PAYZEN- POS VIRTUAL -  VAUCHER N° 6189864 -  OP: 435885</v>
      </c>
      <c r="C59" s="25" t="s">
        <v>930</v>
      </c>
      <c r="D59" s="25" t="s">
        <v>26</v>
      </c>
      <c r="E59" s="25" t="s">
        <v>66</v>
      </c>
      <c r="F59" s="25" t="s">
        <v>28</v>
      </c>
      <c r="G59" s="25" t="s">
        <v>50</v>
      </c>
      <c r="H59" s="25" t="s">
        <v>953</v>
      </c>
      <c r="I59" s="25" t="s">
        <v>71</v>
      </c>
      <c r="J59" s="25" t="s">
        <v>50</v>
      </c>
      <c r="K59" s="25" t="s">
        <v>71</v>
      </c>
      <c r="L59" s="25" t="s">
        <v>32</v>
      </c>
      <c r="M59" s="26">
        <v>282</v>
      </c>
      <c r="N59" s="26">
        <v>11.14</v>
      </c>
      <c r="O59" s="26">
        <v>2.0099999999999998</v>
      </c>
      <c r="P59" s="26">
        <v>268.85000000000002</v>
      </c>
      <c r="Q59" s="26">
        <v>0</v>
      </c>
      <c r="R59" s="25"/>
      <c r="S59" s="25"/>
      <c r="T59" s="25">
        <v>6189864</v>
      </c>
      <c r="U59" s="25" t="s">
        <v>36</v>
      </c>
      <c r="V59" s="25" t="s">
        <v>954</v>
      </c>
      <c r="W59" s="25">
        <v>435885</v>
      </c>
      <c r="X59" s="25"/>
      <c r="Y59" s="25"/>
      <c r="Z59" s="23">
        <v>604</v>
      </c>
      <c r="AA59" s="23" t="s">
        <v>65</v>
      </c>
    </row>
    <row r="60" spans="1:27" x14ac:dyDescent="0.25">
      <c r="A60" s="52" t="str">
        <f t="shared" si="0"/>
        <v>6659-205491</v>
      </c>
      <c r="B60" s="53" t="str">
        <f t="shared" si="1"/>
        <v>SERIE: FD8B1473- POS CHIP EMV -  VAUCHER N° 0000256 -  OP: 205491</v>
      </c>
      <c r="C60" s="25" t="s">
        <v>930</v>
      </c>
      <c r="D60" s="25" t="s">
        <v>26</v>
      </c>
      <c r="E60" s="25" t="s">
        <v>551</v>
      </c>
      <c r="F60" s="25" t="s">
        <v>28</v>
      </c>
      <c r="G60" s="25" t="s">
        <v>71</v>
      </c>
      <c r="H60" s="25" t="s">
        <v>955</v>
      </c>
      <c r="I60" s="25" t="s">
        <v>71</v>
      </c>
      <c r="J60" s="25" t="s">
        <v>71</v>
      </c>
      <c r="K60" s="25" t="s">
        <v>92</v>
      </c>
      <c r="L60" s="25" t="s">
        <v>32</v>
      </c>
      <c r="M60" s="26">
        <v>180</v>
      </c>
      <c r="N60" s="26">
        <v>7.11</v>
      </c>
      <c r="O60" s="26">
        <v>1.28</v>
      </c>
      <c r="P60" s="26">
        <v>171.61</v>
      </c>
      <c r="Q60" s="26">
        <v>171.61</v>
      </c>
      <c r="R60" s="25" t="s">
        <v>956</v>
      </c>
      <c r="S60" s="25" t="s">
        <v>771</v>
      </c>
      <c r="T60" s="25" t="s">
        <v>957</v>
      </c>
      <c r="U60" s="25" t="s">
        <v>36</v>
      </c>
      <c r="V60" s="25" t="s">
        <v>958</v>
      </c>
      <c r="W60" s="25">
        <v>205491</v>
      </c>
      <c r="X60" s="25"/>
      <c r="Y60" s="25"/>
      <c r="Z60" s="23">
        <v>604</v>
      </c>
      <c r="AA60" s="23" t="s">
        <v>936</v>
      </c>
    </row>
    <row r="61" spans="1:27" x14ac:dyDescent="0.25">
      <c r="A61" s="52" t="str">
        <f t="shared" si="0"/>
        <v>6659-133558</v>
      </c>
      <c r="B61" s="53" t="str">
        <f t="shared" si="1"/>
        <v>SERIE: FD8B1473- POS CONTACTLESS CHIP -  VAUCHER N° 0000262 -  OP: 133558</v>
      </c>
      <c r="C61" s="25" t="s">
        <v>930</v>
      </c>
      <c r="D61" s="25" t="s">
        <v>26</v>
      </c>
      <c r="E61" s="25" t="s">
        <v>27</v>
      </c>
      <c r="F61" s="25" t="s">
        <v>28</v>
      </c>
      <c r="G61" s="25" t="s">
        <v>92</v>
      </c>
      <c r="H61" s="25" t="s">
        <v>959</v>
      </c>
      <c r="I61" s="25" t="s">
        <v>92</v>
      </c>
      <c r="J61" s="25" t="s">
        <v>92</v>
      </c>
      <c r="K61" s="25" t="s">
        <v>114</v>
      </c>
      <c r="L61" s="25" t="s">
        <v>32</v>
      </c>
      <c r="M61" s="26">
        <v>64.8</v>
      </c>
      <c r="N61" s="26">
        <v>2.56</v>
      </c>
      <c r="O61" s="26">
        <v>0.46</v>
      </c>
      <c r="P61" s="26">
        <v>61.78</v>
      </c>
      <c r="Q61" s="26">
        <v>61.78</v>
      </c>
      <c r="R61" s="25" t="s">
        <v>960</v>
      </c>
      <c r="S61" s="25" t="s">
        <v>771</v>
      </c>
      <c r="T61" s="25" t="s">
        <v>929</v>
      </c>
      <c r="U61" s="25" t="s">
        <v>36</v>
      </c>
      <c r="V61" s="25" t="s">
        <v>961</v>
      </c>
      <c r="W61" s="25">
        <v>133558</v>
      </c>
      <c r="X61" s="25"/>
      <c r="Y61" s="25"/>
      <c r="Z61" s="23">
        <v>604</v>
      </c>
      <c r="AA61" s="23" t="s">
        <v>936</v>
      </c>
    </row>
    <row r="62" spans="1:27" x14ac:dyDescent="0.25">
      <c r="A62" s="52" t="str">
        <f t="shared" si="0"/>
        <v>6659-R09003</v>
      </c>
      <c r="B62" s="53" t="str">
        <f t="shared" si="1"/>
        <v>SERIE: FD8B1473- POS CONTACTLESS CHIP -  VAUCHER N° 0000267 -  OP: R09003</v>
      </c>
      <c r="C62" s="25" t="s">
        <v>930</v>
      </c>
      <c r="D62" s="25" t="s">
        <v>26</v>
      </c>
      <c r="E62" s="25" t="s">
        <v>27</v>
      </c>
      <c r="F62" s="25" t="s">
        <v>28</v>
      </c>
      <c r="G62" s="25" t="s">
        <v>114</v>
      </c>
      <c r="H62" s="25" t="s">
        <v>962</v>
      </c>
      <c r="I62" s="25" t="s">
        <v>114</v>
      </c>
      <c r="J62" s="25" t="s">
        <v>114</v>
      </c>
      <c r="K62" s="25" t="s">
        <v>136</v>
      </c>
      <c r="L62" s="25" t="s">
        <v>32</v>
      </c>
      <c r="M62" s="26">
        <v>80</v>
      </c>
      <c r="N62" s="26">
        <v>3.16</v>
      </c>
      <c r="O62" s="26">
        <v>0.56999999999999995</v>
      </c>
      <c r="P62" s="26">
        <v>76.27</v>
      </c>
      <c r="Q62" s="26">
        <v>162.07</v>
      </c>
      <c r="R62" s="25" t="s">
        <v>963</v>
      </c>
      <c r="S62" s="25" t="s">
        <v>771</v>
      </c>
      <c r="T62" s="25" t="s">
        <v>964</v>
      </c>
      <c r="U62" s="25" t="s">
        <v>63</v>
      </c>
      <c r="V62" s="25" t="s">
        <v>965</v>
      </c>
      <c r="W62" s="25" t="s">
        <v>966</v>
      </c>
      <c r="X62" s="25"/>
      <c r="Y62" s="25"/>
      <c r="Z62" s="23">
        <v>604</v>
      </c>
      <c r="AA62" s="23" t="s">
        <v>936</v>
      </c>
    </row>
    <row r="63" spans="1:27" x14ac:dyDescent="0.25">
      <c r="A63" s="52" t="str">
        <f t="shared" si="0"/>
        <v>6659-253249</v>
      </c>
      <c r="B63" s="53" t="str">
        <f t="shared" si="1"/>
        <v>SERIE: PAYZEN- POS VIRTUAL -  VAUCHER N° 9202732 -  OP: 253249</v>
      </c>
      <c r="C63" s="25" t="s">
        <v>930</v>
      </c>
      <c r="D63" s="25" t="s">
        <v>26</v>
      </c>
      <c r="E63" s="25" t="s">
        <v>66</v>
      </c>
      <c r="F63" s="25" t="s">
        <v>28</v>
      </c>
      <c r="G63" s="25" t="s">
        <v>114</v>
      </c>
      <c r="H63" s="25" t="s">
        <v>967</v>
      </c>
      <c r="I63" s="25" t="s">
        <v>135</v>
      </c>
      <c r="J63" s="25" t="s">
        <v>114</v>
      </c>
      <c r="K63" s="25" t="s">
        <v>136</v>
      </c>
      <c r="L63" s="25" t="s">
        <v>32</v>
      </c>
      <c r="M63" s="26">
        <v>90</v>
      </c>
      <c r="N63" s="26">
        <v>3.56</v>
      </c>
      <c r="O63" s="26">
        <v>0.64</v>
      </c>
      <c r="P63" s="26">
        <v>85.8</v>
      </c>
      <c r="Q63" s="26">
        <v>0</v>
      </c>
      <c r="R63" s="25"/>
      <c r="S63" s="25"/>
      <c r="T63" s="25">
        <v>9202732</v>
      </c>
      <c r="U63" s="25" t="s">
        <v>36</v>
      </c>
      <c r="V63" s="25" t="s">
        <v>968</v>
      </c>
      <c r="W63" s="25">
        <v>253249</v>
      </c>
      <c r="X63" s="25"/>
      <c r="Y63" s="25"/>
      <c r="Z63" s="23">
        <v>604</v>
      </c>
      <c r="AA63" s="23" t="s">
        <v>65</v>
      </c>
    </row>
    <row r="64" spans="1:27" x14ac:dyDescent="0.25">
      <c r="A64" s="52" t="str">
        <f t="shared" si="0"/>
        <v>6659-004683</v>
      </c>
      <c r="B64" s="53" t="str">
        <f t="shared" si="1"/>
        <v>SERIE: PAYZEN- POS VIRTUAL -  VAUCHER N° 3603218 -  OP: 004683</v>
      </c>
      <c r="C64" s="25" t="s">
        <v>930</v>
      </c>
      <c r="D64" s="25" t="s">
        <v>26</v>
      </c>
      <c r="E64" s="25" t="s">
        <v>66</v>
      </c>
      <c r="F64" s="25" t="s">
        <v>28</v>
      </c>
      <c r="G64" s="25" t="s">
        <v>150</v>
      </c>
      <c r="H64" s="25" t="s">
        <v>969</v>
      </c>
      <c r="I64" s="25" t="s">
        <v>150</v>
      </c>
      <c r="J64" s="25" t="s">
        <v>150</v>
      </c>
      <c r="K64" s="25" t="s">
        <v>170</v>
      </c>
      <c r="L64" s="25" t="s">
        <v>32</v>
      </c>
      <c r="M64" s="26">
        <v>355</v>
      </c>
      <c r="N64" s="26">
        <v>14.02</v>
      </c>
      <c r="O64" s="26">
        <v>2.52</v>
      </c>
      <c r="P64" s="26">
        <v>338.46</v>
      </c>
      <c r="Q64" s="26">
        <v>338.46</v>
      </c>
      <c r="R64" s="25"/>
      <c r="S64" s="25"/>
      <c r="T64" s="25">
        <v>3603218</v>
      </c>
      <c r="U64" s="25" t="s">
        <v>36</v>
      </c>
      <c r="V64" s="25" t="s">
        <v>970</v>
      </c>
      <c r="W64" s="25" t="s">
        <v>971</v>
      </c>
      <c r="X64" s="25"/>
      <c r="Y64" s="25"/>
      <c r="Z64" s="23">
        <v>604</v>
      </c>
      <c r="AA64" s="23" t="s">
        <v>65</v>
      </c>
    </row>
    <row r="65" spans="1:27" x14ac:dyDescent="0.25">
      <c r="A65" s="52" t="str">
        <f t="shared" si="0"/>
        <v>6659-658720</v>
      </c>
      <c r="B65" s="53" t="str">
        <f t="shared" si="1"/>
        <v>SERIE: PAYZEN- POS VIRTUAL -  VAUCHER N° 4563994 -  OP: 658720</v>
      </c>
      <c r="C65" s="25" t="s">
        <v>930</v>
      </c>
      <c r="D65" s="25" t="s">
        <v>26</v>
      </c>
      <c r="E65" s="25" t="s">
        <v>66</v>
      </c>
      <c r="F65" s="25" t="s">
        <v>28</v>
      </c>
      <c r="G65" s="25" t="s">
        <v>170</v>
      </c>
      <c r="H65" s="25" t="s">
        <v>972</v>
      </c>
      <c r="I65" s="25" t="s">
        <v>170</v>
      </c>
      <c r="J65" s="25" t="s">
        <v>170</v>
      </c>
      <c r="K65" s="25" t="s">
        <v>182</v>
      </c>
      <c r="L65" s="25" t="s">
        <v>32</v>
      </c>
      <c r="M65" s="26">
        <v>121</v>
      </c>
      <c r="N65" s="26">
        <v>4.78</v>
      </c>
      <c r="O65" s="26">
        <v>0.86</v>
      </c>
      <c r="P65" s="26">
        <v>115.36</v>
      </c>
      <c r="Q65" s="26">
        <v>115.36</v>
      </c>
      <c r="R65" s="25"/>
      <c r="S65" s="25"/>
      <c r="T65" s="25">
        <v>4563994</v>
      </c>
      <c r="U65" s="25" t="s">
        <v>36</v>
      </c>
      <c r="V65" s="25" t="s">
        <v>973</v>
      </c>
      <c r="W65" s="25">
        <v>658720</v>
      </c>
      <c r="X65" s="25"/>
      <c r="Y65" s="25"/>
      <c r="Z65" s="23">
        <v>604</v>
      </c>
      <c r="AA65" s="23" t="s">
        <v>65</v>
      </c>
    </row>
    <row r="66" spans="1:27" x14ac:dyDescent="0.25">
      <c r="A66" s="52" t="str">
        <f t="shared" si="0"/>
        <v>6659-340366</v>
      </c>
      <c r="B66" s="53" t="str">
        <f t="shared" si="1"/>
        <v>SERIE: PAYZEN- E-COMMERCE -  VAUCHER N° 5211509 -  OP: 340366</v>
      </c>
      <c r="C66" s="25" t="s">
        <v>930</v>
      </c>
      <c r="D66" s="25" t="s">
        <v>26</v>
      </c>
      <c r="E66" s="25" t="s">
        <v>61</v>
      </c>
      <c r="F66" s="25" t="s">
        <v>28</v>
      </c>
      <c r="G66" s="25" t="s">
        <v>170</v>
      </c>
      <c r="H66" s="25" t="s">
        <v>974</v>
      </c>
      <c r="I66" s="25" t="s">
        <v>182</v>
      </c>
      <c r="J66" s="25" t="s">
        <v>182</v>
      </c>
      <c r="K66" s="25" t="s">
        <v>196</v>
      </c>
      <c r="L66" s="25" t="s">
        <v>32</v>
      </c>
      <c r="M66" s="26">
        <v>795.5</v>
      </c>
      <c r="N66" s="26">
        <v>31.42</v>
      </c>
      <c r="O66" s="26">
        <v>5.66</v>
      </c>
      <c r="P66" s="26">
        <v>758.42</v>
      </c>
      <c r="Q66" s="26">
        <v>1371.6</v>
      </c>
      <c r="R66" s="25"/>
      <c r="S66" s="25"/>
      <c r="T66" s="25">
        <v>5211509</v>
      </c>
      <c r="U66" s="25" t="s">
        <v>381</v>
      </c>
      <c r="V66" s="25" t="s">
        <v>975</v>
      </c>
      <c r="W66" s="25">
        <v>340366</v>
      </c>
      <c r="X66" s="25"/>
      <c r="Y66" s="25"/>
      <c r="Z66" s="23">
        <v>604</v>
      </c>
      <c r="AA66" s="23" t="s">
        <v>65</v>
      </c>
    </row>
    <row r="67" spans="1:27" x14ac:dyDescent="0.25">
      <c r="A67" s="52" t="str">
        <f t="shared" ref="A67:A130" si="2">CONCATENATE(RIGHT(C67,4),"-",W67)</f>
        <v>6659-003016</v>
      </c>
      <c r="B67" s="53" t="str">
        <f t="shared" ref="B67:B130" si="3">CONCATENATE("SERIE: ",AA67, "- ",E67," - "," VAUCHER N° ",T67,  " -  OP: ",W67)</f>
        <v>SERIE: PAYZEN- POS VIRTUAL -  VAUCHER N° 5969104 -  OP: 003016</v>
      </c>
      <c r="C67" s="25" t="s">
        <v>930</v>
      </c>
      <c r="D67" s="25" t="s">
        <v>26</v>
      </c>
      <c r="E67" s="25" t="s">
        <v>66</v>
      </c>
      <c r="F67" s="25" t="s">
        <v>28</v>
      </c>
      <c r="G67" s="25" t="s">
        <v>182</v>
      </c>
      <c r="H67" s="25" t="s">
        <v>976</v>
      </c>
      <c r="I67" s="25" t="s">
        <v>182</v>
      </c>
      <c r="J67" s="25" t="s">
        <v>182</v>
      </c>
      <c r="K67" s="25" t="s">
        <v>196</v>
      </c>
      <c r="L67" s="25" t="s">
        <v>32</v>
      </c>
      <c r="M67" s="26">
        <v>192.5</v>
      </c>
      <c r="N67" s="26">
        <v>7.6</v>
      </c>
      <c r="O67" s="26">
        <v>1.37</v>
      </c>
      <c r="P67" s="26">
        <v>183.53</v>
      </c>
      <c r="Q67" s="26">
        <v>0</v>
      </c>
      <c r="R67" s="25"/>
      <c r="S67" s="25"/>
      <c r="T67" s="25">
        <v>5969104</v>
      </c>
      <c r="U67" s="25" t="s">
        <v>36</v>
      </c>
      <c r="V67" s="25" t="s">
        <v>977</v>
      </c>
      <c r="W67" s="25" t="s">
        <v>978</v>
      </c>
      <c r="X67" s="25"/>
      <c r="Y67" s="25"/>
      <c r="Z67" s="23">
        <v>604</v>
      </c>
      <c r="AA67" s="23" t="s">
        <v>65</v>
      </c>
    </row>
    <row r="68" spans="1:27" x14ac:dyDescent="0.25">
      <c r="A68" s="52" t="str">
        <f t="shared" si="2"/>
        <v>6659-004687</v>
      </c>
      <c r="B68" s="53" t="str">
        <f t="shared" si="3"/>
        <v>SERIE: PAYZEN- POS VIRTUAL -  VAUCHER N° 5773799 -  OP: 004687</v>
      </c>
      <c r="C68" s="25" t="s">
        <v>930</v>
      </c>
      <c r="D68" s="25" t="s">
        <v>26</v>
      </c>
      <c r="E68" s="25" t="s">
        <v>66</v>
      </c>
      <c r="F68" s="25" t="s">
        <v>28</v>
      </c>
      <c r="G68" s="25" t="s">
        <v>182</v>
      </c>
      <c r="H68" s="25" t="s">
        <v>979</v>
      </c>
      <c r="I68" s="25" t="s">
        <v>182</v>
      </c>
      <c r="J68" s="25" t="s">
        <v>182</v>
      </c>
      <c r="K68" s="25" t="s">
        <v>196</v>
      </c>
      <c r="L68" s="25" t="s">
        <v>32</v>
      </c>
      <c r="M68" s="26">
        <v>195.65</v>
      </c>
      <c r="N68" s="26">
        <v>7.73</v>
      </c>
      <c r="O68" s="26">
        <v>1.39</v>
      </c>
      <c r="P68" s="26">
        <v>186.53</v>
      </c>
      <c r="Q68" s="26">
        <v>0</v>
      </c>
      <c r="R68" s="25"/>
      <c r="S68" s="25"/>
      <c r="T68" s="25">
        <v>5773799</v>
      </c>
      <c r="U68" s="25" t="s">
        <v>36</v>
      </c>
      <c r="V68" s="25" t="s">
        <v>980</v>
      </c>
      <c r="W68" s="25" t="s">
        <v>981</v>
      </c>
      <c r="X68" s="25"/>
      <c r="Y68" s="25"/>
      <c r="Z68" s="23">
        <v>604</v>
      </c>
      <c r="AA68" s="23" t="s">
        <v>65</v>
      </c>
    </row>
    <row r="69" spans="1:27" x14ac:dyDescent="0.25">
      <c r="A69" s="52" t="str">
        <f t="shared" si="2"/>
        <v>6659-000894</v>
      </c>
      <c r="B69" s="53" t="str">
        <f t="shared" si="3"/>
        <v>SERIE: PAYZEN- POS VIRTUAL -  VAUCHER N° 5883340 -  OP: 000894</v>
      </c>
      <c r="C69" s="25" t="s">
        <v>930</v>
      </c>
      <c r="D69" s="25" t="s">
        <v>26</v>
      </c>
      <c r="E69" s="25" t="s">
        <v>66</v>
      </c>
      <c r="F69" s="25" t="s">
        <v>28</v>
      </c>
      <c r="G69" s="25" t="s">
        <v>182</v>
      </c>
      <c r="H69" s="25" t="s">
        <v>982</v>
      </c>
      <c r="I69" s="25" t="s">
        <v>182</v>
      </c>
      <c r="J69" s="25" t="s">
        <v>182</v>
      </c>
      <c r="K69" s="25" t="s">
        <v>196</v>
      </c>
      <c r="L69" s="25" t="s">
        <v>32</v>
      </c>
      <c r="M69" s="26">
        <v>255</v>
      </c>
      <c r="N69" s="26">
        <v>10.07</v>
      </c>
      <c r="O69" s="26">
        <v>1.81</v>
      </c>
      <c r="P69" s="26">
        <v>243.12</v>
      </c>
      <c r="Q69" s="26">
        <v>0</v>
      </c>
      <c r="R69" s="25"/>
      <c r="S69" s="25"/>
      <c r="T69" s="25">
        <v>5883340</v>
      </c>
      <c r="U69" s="25" t="s">
        <v>36</v>
      </c>
      <c r="V69" s="25" t="s">
        <v>983</v>
      </c>
      <c r="W69" s="25" t="s">
        <v>984</v>
      </c>
      <c r="X69" s="25" t="s">
        <v>250</v>
      </c>
      <c r="Y69" s="25"/>
      <c r="Z69" s="23">
        <v>604</v>
      </c>
      <c r="AA69" s="23" t="s">
        <v>65</v>
      </c>
    </row>
    <row r="70" spans="1:27" x14ac:dyDescent="0.25">
      <c r="A70" s="52" t="str">
        <f t="shared" si="2"/>
        <v>6659-492343</v>
      </c>
      <c r="B70" s="53" t="str">
        <f t="shared" si="3"/>
        <v>SERIE: FD8B1473- POS CHIP EMV -  VAUCHER N° 0000278 -  OP: 492343</v>
      </c>
      <c r="C70" s="25" t="s">
        <v>930</v>
      </c>
      <c r="D70" s="25" t="s">
        <v>26</v>
      </c>
      <c r="E70" s="25" t="s">
        <v>551</v>
      </c>
      <c r="F70" s="25" t="s">
        <v>28</v>
      </c>
      <c r="G70" s="25" t="s">
        <v>196</v>
      </c>
      <c r="H70" s="25" t="s">
        <v>985</v>
      </c>
      <c r="I70" s="25" t="s">
        <v>196</v>
      </c>
      <c r="J70" s="25" t="s">
        <v>196</v>
      </c>
      <c r="K70" s="25" t="s">
        <v>226</v>
      </c>
      <c r="L70" s="25" t="s">
        <v>32</v>
      </c>
      <c r="M70" s="26">
        <v>125.25</v>
      </c>
      <c r="N70" s="26">
        <v>4.95</v>
      </c>
      <c r="O70" s="26">
        <v>0.89</v>
      </c>
      <c r="P70" s="26">
        <v>119.41</v>
      </c>
      <c r="Q70" s="26">
        <v>245.26</v>
      </c>
      <c r="R70" s="25" t="s">
        <v>986</v>
      </c>
      <c r="S70" s="25" t="s">
        <v>771</v>
      </c>
      <c r="T70" s="25" t="s">
        <v>987</v>
      </c>
      <c r="U70" s="25" t="s">
        <v>36</v>
      </c>
      <c r="V70" s="25" t="s">
        <v>988</v>
      </c>
      <c r="W70" s="25">
        <v>492343</v>
      </c>
      <c r="X70" s="25"/>
      <c r="Y70" s="25"/>
      <c r="Z70" s="23">
        <v>604</v>
      </c>
      <c r="AA70" s="23" t="s">
        <v>936</v>
      </c>
    </row>
    <row r="71" spans="1:27" x14ac:dyDescent="0.25">
      <c r="A71" s="52" t="str">
        <f t="shared" si="2"/>
        <v>6659-489368</v>
      </c>
      <c r="B71" s="53" t="str">
        <f t="shared" si="3"/>
        <v>SERIE: FD8B1473- POS CONTACTLESS CHIP -  VAUCHER N° 0000276 -  OP: 489368</v>
      </c>
      <c r="C71" s="25" t="s">
        <v>930</v>
      </c>
      <c r="D71" s="25" t="s">
        <v>26</v>
      </c>
      <c r="E71" s="25" t="s">
        <v>27</v>
      </c>
      <c r="F71" s="25" t="s">
        <v>28</v>
      </c>
      <c r="G71" s="25" t="s">
        <v>196</v>
      </c>
      <c r="H71" s="25" t="s">
        <v>989</v>
      </c>
      <c r="I71" s="25" t="s">
        <v>196</v>
      </c>
      <c r="J71" s="25" t="s">
        <v>196</v>
      </c>
      <c r="K71" s="25" t="s">
        <v>226</v>
      </c>
      <c r="L71" s="25" t="s">
        <v>32</v>
      </c>
      <c r="M71" s="26">
        <v>132</v>
      </c>
      <c r="N71" s="26">
        <v>5.21</v>
      </c>
      <c r="O71" s="26">
        <v>0.94</v>
      </c>
      <c r="P71" s="26">
        <v>125.85</v>
      </c>
      <c r="Q71" s="26">
        <v>0</v>
      </c>
      <c r="R71" s="25" t="s">
        <v>986</v>
      </c>
      <c r="S71" s="25" t="s">
        <v>771</v>
      </c>
      <c r="T71" s="25" t="s">
        <v>990</v>
      </c>
      <c r="U71" s="25" t="s">
        <v>36</v>
      </c>
      <c r="V71" s="25" t="s">
        <v>991</v>
      </c>
      <c r="W71" s="25">
        <v>489368</v>
      </c>
      <c r="X71" s="25"/>
      <c r="Y71" s="25"/>
      <c r="Z71" s="23">
        <v>604</v>
      </c>
      <c r="AA71" s="23" t="s">
        <v>936</v>
      </c>
    </row>
    <row r="72" spans="1:27" x14ac:dyDescent="0.25">
      <c r="A72" s="52" t="str">
        <f t="shared" si="2"/>
        <v>6659-020822</v>
      </c>
      <c r="B72" s="53" t="str">
        <f t="shared" si="3"/>
        <v>SERIE: MPP002LL3- POS QR -  VAUCHER N° 3044567 -  OP: 020822</v>
      </c>
      <c r="C72" s="25" t="s">
        <v>930</v>
      </c>
      <c r="D72" s="25" t="s">
        <v>26</v>
      </c>
      <c r="E72" s="25" t="s">
        <v>43</v>
      </c>
      <c r="F72" s="25" t="s">
        <v>28</v>
      </c>
      <c r="G72" s="25" t="s">
        <v>226</v>
      </c>
      <c r="H72" s="25" t="s">
        <v>992</v>
      </c>
      <c r="I72" s="25" t="s">
        <v>226</v>
      </c>
      <c r="J72" s="25" t="s">
        <v>226</v>
      </c>
      <c r="K72" s="25" t="s">
        <v>246</v>
      </c>
      <c r="L72" s="25" t="s">
        <v>32</v>
      </c>
      <c r="M72" s="26">
        <v>75</v>
      </c>
      <c r="N72" s="26">
        <v>2.21</v>
      </c>
      <c r="O72" s="26">
        <v>0.4</v>
      </c>
      <c r="P72" s="26">
        <v>72.39</v>
      </c>
      <c r="Q72" s="26">
        <v>606.92999999999995</v>
      </c>
      <c r="R72" s="25" t="s">
        <v>993</v>
      </c>
      <c r="S72" s="25" t="s">
        <v>798</v>
      </c>
      <c r="T72" s="25">
        <v>3044567</v>
      </c>
      <c r="U72" s="25" t="s">
        <v>36</v>
      </c>
      <c r="V72" s="25" t="s">
        <v>994</v>
      </c>
      <c r="W72" s="25" t="s">
        <v>995</v>
      </c>
      <c r="X72" s="25"/>
      <c r="Y72" s="25"/>
      <c r="Z72" s="23">
        <v>604</v>
      </c>
      <c r="AA72" s="23" t="s">
        <v>799</v>
      </c>
    </row>
    <row r="73" spans="1:27" x14ac:dyDescent="0.25">
      <c r="A73" s="52" t="str">
        <f t="shared" si="2"/>
        <v>6659-818371</v>
      </c>
      <c r="B73" s="53" t="str">
        <f t="shared" si="3"/>
        <v>SERIE: MPP002LL3- POS QR -  VAUCHER N° 3049227 -  OP: 818371</v>
      </c>
      <c r="C73" s="25" t="s">
        <v>930</v>
      </c>
      <c r="D73" s="25" t="s">
        <v>26</v>
      </c>
      <c r="E73" s="25" t="s">
        <v>43</v>
      </c>
      <c r="F73" s="25" t="s">
        <v>28</v>
      </c>
      <c r="G73" s="25" t="s">
        <v>226</v>
      </c>
      <c r="H73" s="25" t="s">
        <v>996</v>
      </c>
      <c r="I73" s="25" t="s">
        <v>226</v>
      </c>
      <c r="J73" s="25" t="s">
        <v>226</v>
      </c>
      <c r="K73" s="25" t="s">
        <v>246</v>
      </c>
      <c r="L73" s="25" t="s">
        <v>32</v>
      </c>
      <c r="M73" s="26">
        <v>230</v>
      </c>
      <c r="N73" s="26">
        <v>6.79</v>
      </c>
      <c r="O73" s="26">
        <v>1.22</v>
      </c>
      <c r="P73" s="26">
        <v>221.99</v>
      </c>
      <c r="Q73" s="26">
        <v>0</v>
      </c>
      <c r="R73" s="25" t="s">
        <v>993</v>
      </c>
      <c r="S73" s="25" t="s">
        <v>798</v>
      </c>
      <c r="T73" s="25">
        <v>3049227</v>
      </c>
      <c r="U73" s="25" t="s">
        <v>36</v>
      </c>
      <c r="V73" s="25" t="s">
        <v>997</v>
      </c>
      <c r="W73" s="25">
        <v>818371</v>
      </c>
      <c r="X73" s="25"/>
      <c r="Y73" s="25"/>
      <c r="Z73" s="23">
        <v>604</v>
      </c>
      <c r="AA73" s="23" t="s">
        <v>799</v>
      </c>
    </row>
    <row r="74" spans="1:27" x14ac:dyDescent="0.25">
      <c r="A74" s="52" t="str">
        <f t="shared" si="2"/>
        <v>6659-007711</v>
      </c>
      <c r="B74" s="53" t="str">
        <f t="shared" si="3"/>
        <v>SERIE: FD8B1473- POS CONTACTLESS CHIP -  VAUCHER N° 0000283 -  OP: 007711</v>
      </c>
      <c r="C74" s="25" t="s">
        <v>930</v>
      </c>
      <c r="D74" s="25" t="s">
        <v>26</v>
      </c>
      <c r="E74" s="25" t="s">
        <v>27</v>
      </c>
      <c r="F74" s="25" t="s">
        <v>28</v>
      </c>
      <c r="G74" s="25" t="s">
        <v>226</v>
      </c>
      <c r="H74" s="25" t="s">
        <v>998</v>
      </c>
      <c r="I74" s="25" t="s">
        <v>226</v>
      </c>
      <c r="J74" s="25" t="s">
        <v>226</v>
      </c>
      <c r="K74" s="25" t="s">
        <v>246</v>
      </c>
      <c r="L74" s="25" t="s">
        <v>32</v>
      </c>
      <c r="M74" s="26">
        <v>96</v>
      </c>
      <c r="N74" s="26">
        <v>3.79</v>
      </c>
      <c r="O74" s="26">
        <v>0.68</v>
      </c>
      <c r="P74" s="26">
        <v>91.53</v>
      </c>
      <c r="Q74" s="26">
        <v>0</v>
      </c>
      <c r="R74" s="25" t="s">
        <v>993</v>
      </c>
      <c r="S74" s="25" t="s">
        <v>771</v>
      </c>
      <c r="T74" s="25" t="s">
        <v>999</v>
      </c>
      <c r="U74" s="25" t="s">
        <v>36</v>
      </c>
      <c r="V74" s="25" t="s">
        <v>1000</v>
      </c>
      <c r="W74" s="25" t="s">
        <v>1001</v>
      </c>
      <c r="X74" s="25"/>
      <c r="Y74" s="25"/>
      <c r="Z74" s="23">
        <v>604</v>
      </c>
      <c r="AA74" s="23" t="s">
        <v>936</v>
      </c>
    </row>
    <row r="75" spans="1:27" x14ac:dyDescent="0.25">
      <c r="A75" s="52" t="str">
        <f t="shared" si="2"/>
        <v>6659-565491</v>
      </c>
      <c r="B75" s="53" t="str">
        <f t="shared" si="3"/>
        <v>SERIE: PAYZEN- POS VIRTUAL -  VAUCHER N° 9900106 -  OP: 565491</v>
      </c>
      <c r="C75" s="25" t="s">
        <v>930</v>
      </c>
      <c r="D75" s="25" t="s">
        <v>26</v>
      </c>
      <c r="E75" s="25" t="s">
        <v>66</v>
      </c>
      <c r="F75" s="25" t="s">
        <v>28</v>
      </c>
      <c r="G75" s="25" t="s">
        <v>226</v>
      </c>
      <c r="H75" s="25" t="s">
        <v>1002</v>
      </c>
      <c r="I75" s="25" t="s">
        <v>226</v>
      </c>
      <c r="J75" s="25" t="s">
        <v>226</v>
      </c>
      <c r="K75" s="25" t="s">
        <v>246</v>
      </c>
      <c r="L75" s="25" t="s">
        <v>32</v>
      </c>
      <c r="M75" s="26">
        <v>229</v>
      </c>
      <c r="N75" s="26">
        <v>6.76</v>
      </c>
      <c r="O75" s="26">
        <v>1.22</v>
      </c>
      <c r="P75" s="26">
        <v>221.02</v>
      </c>
      <c r="Q75" s="26">
        <v>0</v>
      </c>
      <c r="R75" s="25"/>
      <c r="S75" s="25"/>
      <c r="T75" s="25">
        <v>9900106</v>
      </c>
      <c r="U75" s="25" t="s">
        <v>36</v>
      </c>
      <c r="V75" s="25" t="s">
        <v>1003</v>
      </c>
      <c r="W75" s="25">
        <v>565491</v>
      </c>
      <c r="X75" s="25"/>
      <c r="Y75" s="25"/>
      <c r="Z75" s="23">
        <v>604</v>
      </c>
      <c r="AA75" s="23" t="s">
        <v>65</v>
      </c>
    </row>
    <row r="76" spans="1:27" x14ac:dyDescent="0.25">
      <c r="A76" s="52" t="str">
        <f t="shared" si="2"/>
        <v>6659-021840</v>
      </c>
      <c r="B76" s="53" t="str">
        <f t="shared" si="3"/>
        <v>SERIE: FD8B1473- POS CONTACTLESS CHIP -  VAUCHER N° 0000296 -  OP: 021840</v>
      </c>
      <c r="C76" s="25" t="s">
        <v>930</v>
      </c>
      <c r="D76" s="25" t="s">
        <v>26</v>
      </c>
      <c r="E76" s="25" t="s">
        <v>27</v>
      </c>
      <c r="F76" s="25" t="s">
        <v>28</v>
      </c>
      <c r="G76" s="25" t="s">
        <v>246</v>
      </c>
      <c r="H76" s="25" t="s">
        <v>1004</v>
      </c>
      <c r="I76" s="25" t="s">
        <v>246</v>
      </c>
      <c r="J76" s="25" t="s">
        <v>246</v>
      </c>
      <c r="K76" s="25" t="s">
        <v>266</v>
      </c>
      <c r="L76" s="25" t="s">
        <v>32</v>
      </c>
      <c r="M76" s="26">
        <v>104</v>
      </c>
      <c r="N76" s="26">
        <v>4.1100000000000003</v>
      </c>
      <c r="O76" s="26">
        <v>0.74</v>
      </c>
      <c r="P76" s="26">
        <v>99.15</v>
      </c>
      <c r="Q76" s="26">
        <v>735.07</v>
      </c>
      <c r="R76" s="25" t="s">
        <v>1005</v>
      </c>
      <c r="S76" s="25" t="s">
        <v>771</v>
      </c>
      <c r="T76" s="25" t="s">
        <v>1006</v>
      </c>
      <c r="U76" s="25" t="s">
        <v>36</v>
      </c>
      <c r="V76" s="25" t="s">
        <v>1007</v>
      </c>
      <c r="W76" s="25" t="s">
        <v>1008</v>
      </c>
      <c r="X76" s="25"/>
      <c r="Y76" s="25"/>
      <c r="Z76" s="23">
        <v>604</v>
      </c>
      <c r="AA76" s="23" t="s">
        <v>936</v>
      </c>
    </row>
    <row r="77" spans="1:27" x14ac:dyDescent="0.25">
      <c r="A77" s="52" t="str">
        <f t="shared" si="2"/>
        <v>6659-414043</v>
      </c>
      <c r="B77" s="53" t="str">
        <f t="shared" si="3"/>
        <v>SERIE: FD8B1473- POS CONTACTLESS CHIP -  VAUCHER N° 0000294 -  OP: 414043</v>
      </c>
      <c r="C77" s="25" t="s">
        <v>930</v>
      </c>
      <c r="D77" s="25" t="s">
        <v>26</v>
      </c>
      <c r="E77" s="25" t="s">
        <v>27</v>
      </c>
      <c r="F77" s="25" t="s">
        <v>28</v>
      </c>
      <c r="G77" s="25" t="s">
        <v>246</v>
      </c>
      <c r="H77" s="25" t="s">
        <v>1009</v>
      </c>
      <c r="I77" s="25" t="s">
        <v>246</v>
      </c>
      <c r="J77" s="25" t="s">
        <v>246</v>
      </c>
      <c r="K77" s="25" t="s">
        <v>266</v>
      </c>
      <c r="L77" s="25" t="s">
        <v>32</v>
      </c>
      <c r="M77" s="26">
        <v>367</v>
      </c>
      <c r="N77" s="26">
        <v>14.5</v>
      </c>
      <c r="O77" s="26">
        <v>2.61</v>
      </c>
      <c r="P77" s="26">
        <v>349.89</v>
      </c>
      <c r="Q77" s="26">
        <v>0</v>
      </c>
      <c r="R77" s="25" t="s">
        <v>1005</v>
      </c>
      <c r="S77" s="25" t="s">
        <v>771</v>
      </c>
      <c r="T77" s="25" t="s">
        <v>1010</v>
      </c>
      <c r="U77" s="25" t="s">
        <v>36</v>
      </c>
      <c r="V77" s="25" t="s">
        <v>1011</v>
      </c>
      <c r="W77" s="25">
        <v>414043</v>
      </c>
      <c r="X77" s="25" t="s">
        <v>250</v>
      </c>
      <c r="Y77" s="25"/>
      <c r="Z77" s="23">
        <v>604</v>
      </c>
      <c r="AA77" s="23" t="s">
        <v>936</v>
      </c>
    </row>
    <row r="78" spans="1:27" x14ac:dyDescent="0.25">
      <c r="A78" s="52" t="str">
        <f t="shared" si="2"/>
        <v>6659-413068</v>
      </c>
      <c r="B78" s="53" t="str">
        <f t="shared" si="3"/>
        <v>SERIE: PAYZEN- E-COMMERCE -  VAUCHER N° 0351088 -  OP: 413068</v>
      </c>
      <c r="C78" s="25" t="s">
        <v>930</v>
      </c>
      <c r="D78" s="25" t="s">
        <v>26</v>
      </c>
      <c r="E78" s="25" t="s">
        <v>61</v>
      </c>
      <c r="F78" s="25" t="s">
        <v>28</v>
      </c>
      <c r="G78" s="25" t="s">
        <v>226</v>
      </c>
      <c r="H78" s="25" t="s">
        <v>1012</v>
      </c>
      <c r="I78" s="25" t="s">
        <v>246</v>
      </c>
      <c r="J78" s="25" t="s">
        <v>246</v>
      </c>
      <c r="K78" s="25" t="s">
        <v>266</v>
      </c>
      <c r="L78" s="25" t="s">
        <v>32</v>
      </c>
      <c r="M78" s="26">
        <v>110</v>
      </c>
      <c r="N78" s="26">
        <v>4.3499999999999996</v>
      </c>
      <c r="O78" s="26">
        <v>0.78</v>
      </c>
      <c r="P78" s="26">
        <v>104.87</v>
      </c>
      <c r="Q78" s="26">
        <v>0</v>
      </c>
      <c r="R78" s="25"/>
      <c r="S78" s="25"/>
      <c r="T78" s="25" t="s">
        <v>1013</v>
      </c>
      <c r="U78" s="25" t="s">
        <v>381</v>
      </c>
      <c r="V78" s="25" t="s">
        <v>1014</v>
      </c>
      <c r="W78" s="25">
        <v>413068</v>
      </c>
      <c r="X78" s="25"/>
      <c r="Y78" s="25"/>
      <c r="Z78" s="23">
        <v>604</v>
      </c>
      <c r="AA78" s="23" t="s">
        <v>65</v>
      </c>
    </row>
    <row r="79" spans="1:27" x14ac:dyDescent="0.25">
      <c r="A79" s="52" t="str">
        <f t="shared" si="2"/>
        <v>6659-432960</v>
      </c>
      <c r="B79" s="53" t="str">
        <f t="shared" si="3"/>
        <v>SERIE: PAYZEN- POS VIRTUAL -  VAUCHER N° 0679121 -  OP: 432960</v>
      </c>
      <c r="C79" s="25" t="s">
        <v>930</v>
      </c>
      <c r="D79" s="25" t="s">
        <v>26</v>
      </c>
      <c r="E79" s="25" t="s">
        <v>66</v>
      </c>
      <c r="F79" s="25" t="s">
        <v>28</v>
      </c>
      <c r="G79" s="25" t="s">
        <v>246</v>
      </c>
      <c r="H79" s="25" t="s">
        <v>1015</v>
      </c>
      <c r="I79" s="25" t="s">
        <v>246</v>
      </c>
      <c r="J79" s="25" t="s">
        <v>246</v>
      </c>
      <c r="K79" s="25" t="s">
        <v>266</v>
      </c>
      <c r="L79" s="25" t="s">
        <v>32</v>
      </c>
      <c r="M79" s="26">
        <v>188</v>
      </c>
      <c r="N79" s="26">
        <v>7.43</v>
      </c>
      <c r="O79" s="26">
        <v>1.34</v>
      </c>
      <c r="P79" s="26">
        <v>179.23</v>
      </c>
      <c r="Q79" s="26">
        <v>0</v>
      </c>
      <c r="R79" s="25"/>
      <c r="S79" s="25"/>
      <c r="T79" s="25" t="s">
        <v>1016</v>
      </c>
      <c r="U79" s="25" t="s">
        <v>36</v>
      </c>
      <c r="V79" s="25" t="s">
        <v>1017</v>
      </c>
      <c r="W79" s="25">
        <v>432960</v>
      </c>
      <c r="X79" s="25"/>
      <c r="Y79" s="25"/>
      <c r="Z79" s="23">
        <v>604</v>
      </c>
      <c r="AA79" s="23" t="s">
        <v>65</v>
      </c>
    </row>
    <row r="80" spans="1:27" x14ac:dyDescent="0.25">
      <c r="A80" s="52" t="str">
        <f t="shared" si="2"/>
        <v>6659-448247</v>
      </c>
      <c r="B80" s="53" t="str">
        <f t="shared" si="3"/>
        <v>SERIE: MPP002LL3- POS QR -  VAUCHER N° 7019932 -  OP: 448247</v>
      </c>
      <c r="C80" s="25" t="s">
        <v>930</v>
      </c>
      <c r="D80" s="25" t="s">
        <v>26</v>
      </c>
      <c r="E80" s="25" t="s">
        <v>43</v>
      </c>
      <c r="F80" s="25" t="s">
        <v>28</v>
      </c>
      <c r="G80" s="25" t="s">
        <v>246</v>
      </c>
      <c r="H80" s="25" t="s">
        <v>1018</v>
      </c>
      <c r="I80" s="25" t="s">
        <v>246</v>
      </c>
      <c r="J80" s="25" t="s">
        <v>246</v>
      </c>
      <c r="K80" s="25" t="s">
        <v>266</v>
      </c>
      <c r="L80" s="25" t="s">
        <v>32</v>
      </c>
      <c r="M80" s="26">
        <v>2</v>
      </c>
      <c r="N80" s="26">
        <v>0.06</v>
      </c>
      <c r="O80" s="26">
        <v>0.01</v>
      </c>
      <c r="P80" s="26">
        <v>1.93</v>
      </c>
      <c r="Q80" s="26">
        <v>0</v>
      </c>
      <c r="R80" s="25" t="s">
        <v>1005</v>
      </c>
      <c r="S80" s="25" t="s">
        <v>798</v>
      </c>
      <c r="T80" s="25">
        <v>7019932</v>
      </c>
      <c r="U80" s="25" t="s">
        <v>36</v>
      </c>
      <c r="V80" s="25" t="s">
        <v>952</v>
      </c>
      <c r="W80" s="25">
        <v>448247</v>
      </c>
      <c r="X80" s="25"/>
      <c r="Y80" s="25"/>
      <c r="Z80" s="23">
        <v>604</v>
      </c>
      <c r="AA80" s="23" t="s">
        <v>799</v>
      </c>
    </row>
    <row r="81" spans="1:27" x14ac:dyDescent="0.25">
      <c r="A81" s="52" t="str">
        <f t="shared" si="2"/>
        <v>6659-492081</v>
      </c>
      <c r="B81" s="53" t="str">
        <f t="shared" si="3"/>
        <v>SERIE: FD8B1473- POS CONTACTLESS CHIP -  VAUCHER N° 0000306 -  OP: 492081</v>
      </c>
      <c r="C81" s="25" t="s">
        <v>930</v>
      </c>
      <c r="D81" s="25" t="s">
        <v>26</v>
      </c>
      <c r="E81" s="25" t="s">
        <v>27</v>
      </c>
      <c r="F81" s="25" t="s">
        <v>28</v>
      </c>
      <c r="G81" s="25" t="s">
        <v>266</v>
      </c>
      <c r="H81" s="25" t="s">
        <v>1019</v>
      </c>
      <c r="I81" s="25" t="s">
        <v>266</v>
      </c>
      <c r="J81" s="25" t="s">
        <v>266</v>
      </c>
      <c r="K81" s="25" t="s">
        <v>281</v>
      </c>
      <c r="L81" s="25" t="s">
        <v>32</v>
      </c>
      <c r="M81" s="26">
        <v>40.5</v>
      </c>
      <c r="N81" s="26">
        <v>1.6</v>
      </c>
      <c r="O81" s="26">
        <v>0.28999999999999998</v>
      </c>
      <c r="P81" s="26">
        <v>38.61</v>
      </c>
      <c r="Q81" s="26">
        <v>76.75</v>
      </c>
      <c r="R81" s="25" t="s">
        <v>1020</v>
      </c>
      <c r="S81" s="25" t="s">
        <v>771</v>
      </c>
      <c r="T81" s="25" t="s">
        <v>1021</v>
      </c>
      <c r="U81" s="25" t="s">
        <v>36</v>
      </c>
      <c r="V81" s="25" t="s">
        <v>1022</v>
      </c>
      <c r="W81" s="25">
        <v>492081</v>
      </c>
      <c r="X81" s="25"/>
      <c r="Y81" s="25"/>
      <c r="Z81" s="23">
        <v>604</v>
      </c>
      <c r="AA81" s="23" t="s">
        <v>936</v>
      </c>
    </row>
    <row r="82" spans="1:27" x14ac:dyDescent="0.25">
      <c r="A82" s="52" t="str">
        <f t="shared" si="2"/>
        <v>6659-564568</v>
      </c>
      <c r="B82" s="53" t="str">
        <f t="shared" si="3"/>
        <v>SERIE: FD8B1473- POS CONTACTLESS CHIP -  VAUCHER N° 0000304 -  OP: 564568</v>
      </c>
      <c r="C82" s="25" t="s">
        <v>930</v>
      </c>
      <c r="D82" s="25" t="s">
        <v>26</v>
      </c>
      <c r="E82" s="25" t="s">
        <v>27</v>
      </c>
      <c r="F82" s="25" t="s">
        <v>28</v>
      </c>
      <c r="G82" s="25" t="s">
        <v>266</v>
      </c>
      <c r="H82" s="25" t="s">
        <v>1023</v>
      </c>
      <c r="I82" s="25" t="s">
        <v>266</v>
      </c>
      <c r="J82" s="25" t="s">
        <v>266</v>
      </c>
      <c r="K82" s="25" t="s">
        <v>281</v>
      </c>
      <c r="L82" s="25" t="s">
        <v>32</v>
      </c>
      <c r="M82" s="26">
        <v>40</v>
      </c>
      <c r="N82" s="26">
        <v>1.58</v>
      </c>
      <c r="O82" s="26">
        <v>0.28000000000000003</v>
      </c>
      <c r="P82" s="26">
        <v>38.14</v>
      </c>
      <c r="Q82" s="26">
        <v>0</v>
      </c>
      <c r="R82" s="25" t="s">
        <v>1020</v>
      </c>
      <c r="S82" s="25" t="s">
        <v>771</v>
      </c>
      <c r="T82" s="25" t="s">
        <v>1024</v>
      </c>
      <c r="U82" s="25" t="s">
        <v>36</v>
      </c>
      <c r="V82" s="25" t="s">
        <v>1025</v>
      </c>
      <c r="W82" s="25">
        <v>564568</v>
      </c>
      <c r="X82" s="25"/>
      <c r="Y82" s="25"/>
      <c r="Z82" s="23">
        <v>604</v>
      </c>
      <c r="AA82" s="23" t="s">
        <v>936</v>
      </c>
    </row>
    <row r="83" spans="1:27" x14ac:dyDescent="0.25">
      <c r="A83" s="52" t="str">
        <f t="shared" si="2"/>
        <v>6659-330371</v>
      </c>
      <c r="B83" s="53" t="str">
        <f t="shared" si="3"/>
        <v>SERIE: PAYZEN- POS VIRTUAL -  VAUCHER N° 2669464 -  OP: 330371</v>
      </c>
      <c r="C83" s="25" t="s">
        <v>930</v>
      </c>
      <c r="D83" s="25" t="s">
        <v>26</v>
      </c>
      <c r="E83" s="25" t="s">
        <v>66</v>
      </c>
      <c r="F83" s="25" t="s">
        <v>28</v>
      </c>
      <c r="G83" s="25" t="s">
        <v>281</v>
      </c>
      <c r="H83" s="25" t="s">
        <v>1026</v>
      </c>
      <c r="I83" s="25" t="s">
        <v>281</v>
      </c>
      <c r="J83" s="25" t="s">
        <v>281</v>
      </c>
      <c r="K83" s="25" t="s">
        <v>294</v>
      </c>
      <c r="L83" s="25" t="s">
        <v>32</v>
      </c>
      <c r="M83" s="26">
        <v>420</v>
      </c>
      <c r="N83" s="26">
        <v>16.59</v>
      </c>
      <c r="O83" s="26">
        <v>2.99</v>
      </c>
      <c r="P83" s="26">
        <v>400.42</v>
      </c>
      <c r="Q83" s="26">
        <v>424.55</v>
      </c>
      <c r="R83" s="25"/>
      <c r="S83" s="25"/>
      <c r="T83" s="25">
        <v>2669464</v>
      </c>
      <c r="U83" s="25" t="s">
        <v>36</v>
      </c>
      <c r="V83" s="25" t="s">
        <v>1027</v>
      </c>
      <c r="W83" s="25">
        <v>330371</v>
      </c>
      <c r="X83" s="25"/>
      <c r="Y83" s="25"/>
      <c r="Z83" s="23">
        <v>604</v>
      </c>
      <c r="AA83" s="23" t="s">
        <v>65</v>
      </c>
    </row>
    <row r="84" spans="1:27" x14ac:dyDescent="0.25">
      <c r="A84" s="52" t="str">
        <f t="shared" si="2"/>
        <v>6659-771066</v>
      </c>
      <c r="B84" s="53" t="str">
        <f t="shared" si="3"/>
        <v>SERIE: MPP002LL3- POS QR -  VAUCHER N° 1033750 -  OP: 771066</v>
      </c>
      <c r="C84" s="25" t="s">
        <v>930</v>
      </c>
      <c r="D84" s="25" t="s">
        <v>26</v>
      </c>
      <c r="E84" s="25" t="s">
        <v>43</v>
      </c>
      <c r="F84" s="25" t="s">
        <v>28</v>
      </c>
      <c r="G84" s="25" t="s">
        <v>281</v>
      </c>
      <c r="H84" s="25" t="s">
        <v>1028</v>
      </c>
      <c r="I84" s="25" t="s">
        <v>281</v>
      </c>
      <c r="J84" s="25" t="s">
        <v>281</v>
      </c>
      <c r="K84" s="25" t="s">
        <v>294</v>
      </c>
      <c r="L84" s="25" t="s">
        <v>32</v>
      </c>
      <c r="M84" s="26">
        <v>25</v>
      </c>
      <c r="N84" s="26">
        <v>0.74</v>
      </c>
      <c r="O84" s="26">
        <v>0.13</v>
      </c>
      <c r="P84" s="26">
        <v>24.13</v>
      </c>
      <c r="Q84" s="26">
        <v>0</v>
      </c>
      <c r="R84" s="25" t="s">
        <v>1029</v>
      </c>
      <c r="S84" s="25" t="s">
        <v>798</v>
      </c>
      <c r="T84" s="25">
        <v>1033750</v>
      </c>
      <c r="U84" s="25" t="s">
        <v>36</v>
      </c>
      <c r="V84" s="25" t="s">
        <v>1030</v>
      </c>
      <c r="W84" s="25">
        <v>771066</v>
      </c>
      <c r="X84" s="25"/>
      <c r="Y84" s="25"/>
      <c r="Z84" s="23">
        <v>604</v>
      </c>
      <c r="AA84" s="23" t="s">
        <v>799</v>
      </c>
    </row>
    <row r="85" spans="1:27" x14ac:dyDescent="0.25">
      <c r="A85" s="52" t="str">
        <f t="shared" si="2"/>
        <v>6659-148710</v>
      </c>
      <c r="B85" s="53" t="str">
        <f t="shared" si="3"/>
        <v>SERIE: FD8B1473- POS CONTACTLESS CHIP -  VAUCHER N° 0000317 -  OP: 148710</v>
      </c>
      <c r="C85" s="25" t="s">
        <v>930</v>
      </c>
      <c r="D85" s="25" t="s">
        <v>26</v>
      </c>
      <c r="E85" s="25" t="s">
        <v>27</v>
      </c>
      <c r="F85" s="25" t="s">
        <v>28</v>
      </c>
      <c r="G85" s="25" t="s">
        <v>323</v>
      </c>
      <c r="H85" s="25" t="s">
        <v>1031</v>
      </c>
      <c r="I85" s="25" t="s">
        <v>323</v>
      </c>
      <c r="J85" s="25" t="s">
        <v>323</v>
      </c>
      <c r="K85" s="25" t="s">
        <v>337</v>
      </c>
      <c r="L85" s="25" t="s">
        <v>32</v>
      </c>
      <c r="M85" s="26">
        <v>568</v>
      </c>
      <c r="N85" s="26">
        <v>22.44</v>
      </c>
      <c r="O85" s="26">
        <v>4.04</v>
      </c>
      <c r="P85" s="26">
        <v>541.52</v>
      </c>
      <c r="Q85" s="26">
        <v>541.52</v>
      </c>
      <c r="R85" s="25" t="s">
        <v>1032</v>
      </c>
      <c r="S85" s="25" t="s">
        <v>771</v>
      </c>
      <c r="T85" s="25" t="s">
        <v>1033</v>
      </c>
      <c r="U85" s="25" t="s">
        <v>36</v>
      </c>
      <c r="V85" s="25" t="s">
        <v>991</v>
      </c>
      <c r="W85" s="25">
        <v>148710</v>
      </c>
      <c r="X85" s="25"/>
      <c r="Y85" s="25"/>
      <c r="Z85" s="23">
        <v>604</v>
      </c>
      <c r="AA85" s="23" t="s">
        <v>936</v>
      </c>
    </row>
    <row r="86" spans="1:27" x14ac:dyDescent="0.25">
      <c r="A86" s="52" t="str">
        <f t="shared" si="2"/>
        <v>6659-T08117</v>
      </c>
      <c r="B86" s="53" t="str">
        <f t="shared" si="3"/>
        <v>SERIE: PAYZEN- E-COMMERCE -  VAUCHER N° 7296938 -  OP: T08117</v>
      </c>
      <c r="C86" s="25" t="s">
        <v>930</v>
      </c>
      <c r="D86" s="25" t="s">
        <v>26</v>
      </c>
      <c r="E86" s="25" t="s">
        <v>61</v>
      </c>
      <c r="F86" s="25" t="s">
        <v>28</v>
      </c>
      <c r="G86" s="25" t="s">
        <v>337</v>
      </c>
      <c r="H86" s="25" t="s">
        <v>1034</v>
      </c>
      <c r="I86" s="25" t="s">
        <v>337</v>
      </c>
      <c r="J86" s="25" t="s">
        <v>337</v>
      </c>
      <c r="K86" s="25" t="s">
        <v>368</v>
      </c>
      <c r="L86" s="25" t="s">
        <v>32</v>
      </c>
      <c r="M86" s="26">
        <v>631.51</v>
      </c>
      <c r="N86" s="26">
        <v>18.63</v>
      </c>
      <c r="O86" s="26">
        <v>3.35</v>
      </c>
      <c r="P86" s="26">
        <v>609.53</v>
      </c>
      <c r="Q86" s="26">
        <v>631.72</v>
      </c>
      <c r="R86" s="25"/>
      <c r="S86" s="25"/>
      <c r="T86" s="25">
        <v>7296938</v>
      </c>
      <c r="U86" s="25" t="s">
        <v>63</v>
      </c>
      <c r="V86" s="25" t="s">
        <v>1035</v>
      </c>
      <c r="W86" s="25" t="s">
        <v>1036</v>
      </c>
      <c r="X86" s="25"/>
      <c r="Y86" s="25"/>
      <c r="Z86" s="23">
        <v>604</v>
      </c>
      <c r="AA86" s="23" t="s">
        <v>65</v>
      </c>
    </row>
    <row r="87" spans="1:27" x14ac:dyDescent="0.25">
      <c r="A87" s="52" t="str">
        <f t="shared" si="2"/>
        <v>6659-360330</v>
      </c>
      <c r="B87" s="53" t="str">
        <f t="shared" si="3"/>
        <v>SERIE: MPP002LL3- POS QR -  VAUCHER N° 6046234 -  OP: 360330</v>
      </c>
      <c r="C87" s="25" t="s">
        <v>930</v>
      </c>
      <c r="D87" s="25" t="s">
        <v>26</v>
      </c>
      <c r="E87" s="25" t="s">
        <v>43</v>
      </c>
      <c r="F87" s="25" t="s">
        <v>28</v>
      </c>
      <c r="G87" s="25" t="s">
        <v>337</v>
      </c>
      <c r="H87" s="25" t="s">
        <v>1037</v>
      </c>
      <c r="I87" s="25" t="s">
        <v>337</v>
      </c>
      <c r="J87" s="25" t="s">
        <v>337</v>
      </c>
      <c r="K87" s="25" t="s">
        <v>368</v>
      </c>
      <c r="L87" s="25" t="s">
        <v>32</v>
      </c>
      <c r="M87" s="26">
        <v>23</v>
      </c>
      <c r="N87" s="26">
        <v>0.68</v>
      </c>
      <c r="O87" s="26">
        <v>0.13</v>
      </c>
      <c r="P87" s="26">
        <v>22.19</v>
      </c>
      <c r="Q87" s="26">
        <v>0</v>
      </c>
      <c r="R87" s="25" t="s">
        <v>1038</v>
      </c>
      <c r="S87" s="25" t="s">
        <v>798</v>
      </c>
      <c r="T87" s="25">
        <v>6046234</v>
      </c>
      <c r="U87" s="25" t="s">
        <v>36</v>
      </c>
      <c r="V87" s="25" t="s">
        <v>1039</v>
      </c>
      <c r="W87" s="25">
        <v>360330</v>
      </c>
      <c r="X87" s="25"/>
      <c r="Y87" s="25"/>
      <c r="Z87" s="23">
        <v>604</v>
      </c>
      <c r="AA87" s="23" t="s">
        <v>799</v>
      </c>
    </row>
    <row r="88" spans="1:27" x14ac:dyDescent="0.25">
      <c r="A88" s="52" t="str">
        <f t="shared" si="2"/>
        <v>6659-561647</v>
      </c>
      <c r="B88" s="53" t="str">
        <f t="shared" si="3"/>
        <v>SERIE: PAYZEN- POS VIRTUAL -  VAUCHER N° 8073382 -  OP: 561647</v>
      </c>
      <c r="C88" s="25" t="s">
        <v>930</v>
      </c>
      <c r="D88" s="25" t="s">
        <v>26</v>
      </c>
      <c r="E88" s="25" t="s">
        <v>66</v>
      </c>
      <c r="F88" s="25" t="s">
        <v>28</v>
      </c>
      <c r="G88" s="25" t="s">
        <v>368</v>
      </c>
      <c r="H88" s="25" t="s">
        <v>1040</v>
      </c>
      <c r="I88" s="25" t="s">
        <v>389</v>
      </c>
      <c r="J88" s="25" t="s">
        <v>368</v>
      </c>
      <c r="K88" s="25" t="s">
        <v>389</v>
      </c>
      <c r="L88" s="25" t="s">
        <v>32</v>
      </c>
      <c r="M88" s="26">
        <v>860</v>
      </c>
      <c r="N88" s="26">
        <v>33.97</v>
      </c>
      <c r="O88" s="26">
        <v>6.11</v>
      </c>
      <c r="P88" s="26">
        <v>819.92</v>
      </c>
      <c r="Q88" s="26">
        <v>819.92</v>
      </c>
      <c r="R88" s="25"/>
      <c r="S88" s="25"/>
      <c r="T88" s="25">
        <v>8073382</v>
      </c>
      <c r="U88" s="25" t="s">
        <v>36</v>
      </c>
      <c r="V88" s="25" t="s">
        <v>1041</v>
      </c>
      <c r="W88" s="25">
        <v>561647</v>
      </c>
      <c r="X88" s="25"/>
      <c r="Y88" s="25"/>
      <c r="Z88" s="23">
        <v>604</v>
      </c>
      <c r="AA88" s="23" t="s">
        <v>65</v>
      </c>
    </row>
    <row r="89" spans="1:27" x14ac:dyDescent="0.25">
      <c r="A89" s="52" t="str">
        <f t="shared" si="2"/>
        <v>6659-885768</v>
      </c>
      <c r="B89" s="53" t="str">
        <f t="shared" si="3"/>
        <v>SERIE: PAYZEN- POS VIRTUAL -  VAUCHER N° 9905757 -  OP: 885768</v>
      </c>
      <c r="C89" s="25" t="s">
        <v>930</v>
      </c>
      <c r="D89" s="25" t="s">
        <v>26</v>
      </c>
      <c r="E89" s="25" t="s">
        <v>66</v>
      </c>
      <c r="F89" s="25" t="s">
        <v>28</v>
      </c>
      <c r="G89" s="25" t="s">
        <v>389</v>
      </c>
      <c r="H89" s="25" t="s">
        <v>1042</v>
      </c>
      <c r="I89" s="25" t="s">
        <v>389</v>
      </c>
      <c r="J89" s="25" t="s">
        <v>389</v>
      </c>
      <c r="K89" s="25" t="s">
        <v>408</v>
      </c>
      <c r="L89" s="25" t="s">
        <v>32</v>
      </c>
      <c r="M89" s="26">
        <v>60.5</v>
      </c>
      <c r="N89" s="26">
        <v>2.39</v>
      </c>
      <c r="O89" s="26">
        <v>0.43</v>
      </c>
      <c r="P89" s="26">
        <v>57.68</v>
      </c>
      <c r="Q89" s="26">
        <v>57.68</v>
      </c>
      <c r="R89" s="25"/>
      <c r="S89" s="25"/>
      <c r="T89" s="25">
        <v>9905757</v>
      </c>
      <c r="U89" s="25" t="s">
        <v>36</v>
      </c>
      <c r="V89" s="25" t="s">
        <v>1043</v>
      </c>
      <c r="W89" s="25">
        <v>885768</v>
      </c>
      <c r="X89" s="25"/>
      <c r="Y89" s="25"/>
      <c r="Z89" s="23">
        <v>604</v>
      </c>
      <c r="AA89" s="23" t="s">
        <v>65</v>
      </c>
    </row>
    <row r="90" spans="1:27" x14ac:dyDescent="0.25">
      <c r="A90" s="52" t="str">
        <f t="shared" si="2"/>
        <v>6659-777614</v>
      </c>
      <c r="B90" s="53" t="str">
        <f t="shared" si="3"/>
        <v>SERIE: FD8B1473- POS CONTACTLESS CHIP -  VAUCHER N° 0000332 -  OP: 777614</v>
      </c>
      <c r="C90" s="25" t="s">
        <v>930</v>
      </c>
      <c r="D90" s="25" t="s">
        <v>26</v>
      </c>
      <c r="E90" s="25" t="s">
        <v>27</v>
      </c>
      <c r="F90" s="25" t="s">
        <v>28</v>
      </c>
      <c r="G90" s="25" t="s">
        <v>408</v>
      </c>
      <c r="H90" s="25" t="s">
        <v>1044</v>
      </c>
      <c r="I90" s="25" t="s">
        <v>408</v>
      </c>
      <c r="J90" s="25" t="s">
        <v>408</v>
      </c>
      <c r="K90" s="25" t="s">
        <v>412</v>
      </c>
      <c r="L90" s="25" t="s">
        <v>32</v>
      </c>
      <c r="M90" s="26">
        <v>40</v>
      </c>
      <c r="N90" s="26">
        <v>1.18</v>
      </c>
      <c r="O90" s="26">
        <v>0.21</v>
      </c>
      <c r="P90" s="26">
        <v>38.61</v>
      </c>
      <c r="Q90" s="26">
        <v>2063.1</v>
      </c>
      <c r="R90" s="25" t="s">
        <v>1045</v>
      </c>
      <c r="S90" s="25" t="s">
        <v>771</v>
      </c>
      <c r="T90" s="25" t="s">
        <v>1046</v>
      </c>
      <c r="U90" s="25" t="s">
        <v>36</v>
      </c>
      <c r="V90" s="25" t="s">
        <v>1047</v>
      </c>
      <c r="W90" s="25">
        <v>777614</v>
      </c>
      <c r="X90" s="25"/>
      <c r="Y90" s="25"/>
      <c r="Z90" s="23">
        <v>604</v>
      </c>
      <c r="AA90" s="23" t="s">
        <v>936</v>
      </c>
    </row>
    <row r="91" spans="1:27" x14ac:dyDescent="0.25">
      <c r="A91" s="52" t="str">
        <f t="shared" si="2"/>
        <v>6659-885527</v>
      </c>
      <c r="B91" s="53" t="str">
        <f t="shared" si="3"/>
        <v>SERIE: FD8B1473- POS CONTACTLESS CHIP -  VAUCHER N° 0000330 -  OP: 885527</v>
      </c>
      <c r="C91" s="25" t="s">
        <v>930</v>
      </c>
      <c r="D91" s="25" t="s">
        <v>26</v>
      </c>
      <c r="E91" s="25" t="s">
        <v>27</v>
      </c>
      <c r="F91" s="25" t="s">
        <v>28</v>
      </c>
      <c r="G91" s="25" t="s">
        <v>408</v>
      </c>
      <c r="H91" s="25" t="s">
        <v>1048</v>
      </c>
      <c r="I91" s="25" t="s">
        <v>408</v>
      </c>
      <c r="J91" s="25" t="s">
        <v>408</v>
      </c>
      <c r="K91" s="25" t="s">
        <v>412</v>
      </c>
      <c r="L91" s="25" t="s">
        <v>32</v>
      </c>
      <c r="M91" s="26">
        <v>25</v>
      </c>
      <c r="N91" s="26">
        <v>0.74</v>
      </c>
      <c r="O91" s="26">
        <v>0.13</v>
      </c>
      <c r="P91" s="26">
        <v>24.13</v>
      </c>
      <c r="Q91" s="26">
        <v>0</v>
      </c>
      <c r="R91" s="25" t="s">
        <v>1045</v>
      </c>
      <c r="S91" s="25" t="s">
        <v>771</v>
      </c>
      <c r="T91" s="25" t="s">
        <v>1049</v>
      </c>
      <c r="U91" s="25" t="s">
        <v>36</v>
      </c>
      <c r="V91" s="25" t="s">
        <v>1047</v>
      </c>
      <c r="W91" s="25">
        <v>885527</v>
      </c>
      <c r="X91" s="25"/>
      <c r="Y91" s="25"/>
      <c r="Z91" s="23">
        <v>604</v>
      </c>
      <c r="AA91" s="23" t="s">
        <v>936</v>
      </c>
    </row>
    <row r="92" spans="1:27" x14ac:dyDescent="0.25">
      <c r="A92" s="52" t="str">
        <f t="shared" si="2"/>
        <v>6659-875873</v>
      </c>
      <c r="B92" s="53" t="str">
        <f t="shared" si="3"/>
        <v>SERIE: FD8B1473- POS CONTACTLESS CHIP -  VAUCHER N° 0000328 -  OP: 875873</v>
      </c>
      <c r="C92" s="25" t="s">
        <v>930</v>
      </c>
      <c r="D92" s="25" t="s">
        <v>26</v>
      </c>
      <c r="E92" s="25" t="s">
        <v>27</v>
      </c>
      <c r="F92" s="25" t="s">
        <v>28</v>
      </c>
      <c r="G92" s="25" t="s">
        <v>408</v>
      </c>
      <c r="H92" s="25" t="s">
        <v>1050</v>
      </c>
      <c r="I92" s="25" t="s">
        <v>408</v>
      </c>
      <c r="J92" s="25" t="s">
        <v>408</v>
      </c>
      <c r="K92" s="25" t="s">
        <v>412</v>
      </c>
      <c r="L92" s="25" t="s">
        <v>32</v>
      </c>
      <c r="M92" s="26">
        <v>3</v>
      </c>
      <c r="N92" s="26">
        <v>0.09</v>
      </c>
      <c r="O92" s="26">
        <v>0.02</v>
      </c>
      <c r="P92" s="26">
        <v>2.89</v>
      </c>
      <c r="Q92" s="26">
        <v>0</v>
      </c>
      <c r="R92" s="25" t="s">
        <v>1045</v>
      </c>
      <c r="S92" s="25" t="s">
        <v>771</v>
      </c>
      <c r="T92" s="25" t="s">
        <v>1051</v>
      </c>
      <c r="U92" s="25" t="s">
        <v>36</v>
      </c>
      <c r="V92" s="25" t="s">
        <v>1047</v>
      </c>
      <c r="W92" s="25">
        <v>875873</v>
      </c>
      <c r="X92" s="25"/>
      <c r="Y92" s="25"/>
      <c r="Z92" s="23">
        <v>604</v>
      </c>
      <c r="AA92" s="23" t="s">
        <v>936</v>
      </c>
    </row>
    <row r="93" spans="1:27" x14ac:dyDescent="0.25">
      <c r="A93" s="52" t="str">
        <f t="shared" si="2"/>
        <v>6659-005949</v>
      </c>
      <c r="B93" s="53" t="str">
        <f t="shared" si="3"/>
        <v>SERIE: PAYZEN- POS VIRTUAL -  VAUCHER N° 0803742 -  OP: 005949</v>
      </c>
      <c r="C93" s="25" t="s">
        <v>930</v>
      </c>
      <c r="D93" s="25" t="s">
        <v>26</v>
      </c>
      <c r="E93" s="25" t="s">
        <v>66</v>
      </c>
      <c r="F93" s="25" t="s">
        <v>28</v>
      </c>
      <c r="G93" s="25" t="s">
        <v>408</v>
      </c>
      <c r="H93" s="25" t="s">
        <v>1052</v>
      </c>
      <c r="I93" s="25" t="s">
        <v>408</v>
      </c>
      <c r="J93" s="25" t="s">
        <v>408</v>
      </c>
      <c r="K93" s="25" t="s">
        <v>412</v>
      </c>
      <c r="L93" s="25" t="s">
        <v>32</v>
      </c>
      <c r="M93" s="26">
        <v>635</v>
      </c>
      <c r="N93" s="26">
        <v>25.08</v>
      </c>
      <c r="O93" s="26">
        <v>4.51</v>
      </c>
      <c r="P93" s="26">
        <v>605.41</v>
      </c>
      <c r="Q93" s="26">
        <v>0</v>
      </c>
      <c r="R93" s="25"/>
      <c r="S93" s="25"/>
      <c r="T93" s="25" t="s">
        <v>1053</v>
      </c>
      <c r="U93" s="25" t="s">
        <v>36</v>
      </c>
      <c r="V93" s="25" t="s">
        <v>946</v>
      </c>
      <c r="W93" s="25" t="s">
        <v>1054</v>
      </c>
      <c r="X93" s="25"/>
      <c r="Y93" s="25"/>
      <c r="Z93" s="23">
        <v>604</v>
      </c>
      <c r="AA93" s="23" t="s">
        <v>65</v>
      </c>
    </row>
    <row r="94" spans="1:27" x14ac:dyDescent="0.25">
      <c r="A94" s="52" t="str">
        <f t="shared" si="2"/>
        <v>6659-002617</v>
      </c>
      <c r="B94" s="53" t="str">
        <f t="shared" si="3"/>
        <v>SERIE: PAYZEN- POS VIRTUAL -  VAUCHER N° 0993770 -  OP: 002617</v>
      </c>
      <c r="C94" s="25" t="s">
        <v>930</v>
      </c>
      <c r="D94" s="25" t="s">
        <v>26</v>
      </c>
      <c r="E94" s="25" t="s">
        <v>66</v>
      </c>
      <c r="F94" s="25" t="s">
        <v>28</v>
      </c>
      <c r="G94" s="25" t="s">
        <v>408</v>
      </c>
      <c r="H94" s="25" t="s">
        <v>1055</v>
      </c>
      <c r="I94" s="25" t="s">
        <v>408</v>
      </c>
      <c r="J94" s="25" t="s">
        <v>408</v>
      </c>
      <c r="K94" s="25" t="s">
        <v>412</v>
      </c>
      <c r="L94" s="25" t="s">
        <v>32</v>
      </c>
      <c r="M94" s="26">
        <v>1460.13</v>
      </c>
      <c r="N94" s="26">
        <v>57.68</v>
      </c>
      <c r="O94" s="26">
        <v>10.39</v>
      </c>
      <c r="P94" s="26">
        <v>1392.06</v>
      </c>
      <c r="Q94" s="26">
        <v>0</v>
      </c>
      <c r="R94" s="25"/>
      <c r="S94" s="25"/>
      <c r="T94" s="25" t="s">
        <v>1056</v>
      </c>
      <c r="U94" s="25" t="s">
        <v>36</v>
      </c>
      <c r="V94" s="25" t="s">
        <v>1057</v>
      </c>
      <c r="W94" s="25" t="s">
        <v>1058</v>
      </c>
      <c r="X94" s="25"/>
      <c r="Y94" s="25"/>
      <c r="Z94" s="23">
        <v>604</v>
      </c>
      <c r="AA94" s="23" t="s">
        <v>65</v>
      </c>
    </row>
    <row r="95" spans="1:27" x14ac:dyDescent="0.25">
      <c r="A95" s="52" t="str">
        <f t="shared" si="2"/>
        <v>DIGO-CODIGO DE AUTORIZACION</v>
      </c>
      <c r="B95" s="53" t="str">
        <f t="shared" si="3"/>
        <v>SERIE: SERIE TERMINAL- TIPO DE CAPTURA -  VAUCHER N° NUM DE REF (VOUCHER) -  OP: CODIGO DE AUTORIZACION</v>
      </c>
      <c r="C95" s="28" t="s">
        <v>0</v>
      </c>
      <c r="D95" s="28" t="s">
        <v>1</v>
      </c>
      <c r="E95" s="28" t="s">
        <v>2</v>
      </c>
      <c r="F95" s="28" t="s">
        <v>3</v>
      </c>
      <c r="G95" s="28" t="s">
        <v>4</v>
      </c>
      <c r="H95" s="28" t="s">
        <v>5</v>
      </c>
      <c r="I95" s="28" t="s">
        <v>6</v>
      </c>
      <c r="J95" s="28" t="s">
        <v>7</v>
      </c>
      <c r="K95" s="28" t="s">
        <v>8</v>
      </c>
      <c r="L95" s="28" t="s">
        <v>9</v>
      </c>
      <c r="M95" s="28" t="s">
        <v>10</v>
      </c>
      <c r="N95" s="28" t="s">
        <v>11</v>
      </c>
      <c r="O95" s="28" t="s">
        <v>12</v>
      </c>
      <c r="P95" s="28" t="s">
        <v>13</v>
      </c>
      <c r="Q95" s="28" t="s">
        <v>14</v>
      </c>
      <c r="R95" s="28" t="s">
        <v>15</v>
      </c>
      <c r="S95" s="28" t="s">
        <v>16</v>
      </c>
      <c r="T95" s="28" t="s">
        <v>17</v>
      </c>
      <c r="U95" s="28" t="s">
        <v>18</v>
      </c>
      <c r="V95" s="28" t="s">
        <v>19</v>
      </c>
      <c r="W95" s="28" t="s">
        <v>20</v>
      </c>
      <c r="X95" s="28" t="s">
        <v>21</v>
      </c>
      <c r="Y95" s="28" t="s">
        <v>22</v>
      </c>
      <c r="Z95" s="28" t="s">
        <v>23</v>
      </c>
      <c r="AA95" s="28" t="s">
        <v>24</v>
      </c>
    </row>
    <row r="96" spans="1:27" x14ac:dyDescent="0.25">
      <c r="A96" s="52" t="str">
        <f t="shared" si="2"/>
        <v>6210-048263</v>
      </c>
      <c r="B96" s="53" t="str">
        <f t="shared" si="3"/>
        <v>SERIE: FD8B1098- POS CONTACTLESS CHIP -  VAUCHER N° 0000274 -  OP: 048263</v>
      </c>
      <c r="C96" s="29" t="s">
        <v>1059</v>
      </c>
      <c r="D96" s="29" t="s">
        <v>26</v>
      </c>
      <c r="E96" s="29" t="s">
        <v>27</v>
      </c>
      <c r="F96" s="29" t="s">
        <v>28</v>
      </c>
      <c r="G96" s="29" t="s">
        <v>389</v>
      </c>
      <c r="H96" s="29" t="s">
        <v>1060</v>
      </c>
      <c r="I96" s="29" t="s">
        <v>389</v>
      </c>
      <c r="J96" s="29" t="s">
        <v>389</v>
      </c>
      <c r="K96" s="29" t="s">
        <v>408</v>
      </c>
      <c r="L96" s="29" t="s">
        <v>32</v>
      </c>
      <c r="M96" s="30">
        <v>124</v>
      </c>
      <c r="N96" s="30">
        <v>4.9000000000000004</v>
      </c>
      <c r="O96" s="30">
        <v>0.88</v>
      </c>
      <c r="P96" s="30">
        <v>118.22</v>
      </c>
      <c r="Q96" s="30">
        <v>118.22</v>
      </c>
      <c r="R96" s="29" t="s">
        <v>1061</v>
      </c>
      <c r="S96" s="29" t="s">
        <v>771</v>
      </c>
      <c r="T96" s="29" t="s">
        <v>1062</v>
      </c>
      <c r="U96" s="29" t="s">
        <v>36</v>
      </c>
      <c r="V96" s="29" t="s">
        <v>1063</v>
      </c>
      <c r="W96" s="29" t="s">
        <v>1064</v>
      </c>
      <c r="X96" s="29" t="s">
        <v>250</v>
      </c>
      <c r="Y96" s="29"/>
      <c r="Z96" s="27">
        <v>604</v>
      </c>
      <c r="AA96" s="27" t="s">
        <v>1065</v>
      </c>
    </row>
    <row r="97" spans="1:27" x14ac:dyDescent="0.25">
      <c r="A97" s="52" t="str">
        <f t="shared" si="2"/>
        <v>DIGO-CODIGO DE AUTORIZACION</v>
      </c>
      <c r="B97" s="53" t="str">
        <f t="shared" si="3"/>
        <v>SERIE: SERIE TERMINAL- TIPO DE CAPTURA -  VAUCHER N° NUM DE REF (VOUCHER) -  OP: CODIGO DE AUTORIZACION</v>
      </c>
      <c r="C97" s="32" t="s">
        <v>0</v>
      </c>
      <c r="D97" s="32" t="s">
        <v>1</v>
      </c>
      <c r="E97" s="32" t="s">
        <v>2</v>
      </c>
      <c r="F97" s="32" t="s">
        <v>3</v>
      </c>
      <c r="G97" s="32" t="s">
        <v>4</v>
      </c>
      <c r="H97" s="32" t="s">
        <v>5</v>
      </c>
      <c r="I97" s="32" t="s">
        <v>6</v>
      </c>
      <c r="J97" s="32" t="s">
        <v>7</v>
      </c>
      <c r="K97" s="32" t="s">
        <v>8</v>
      </c>
      <c r="L97" s="32" t="s">
        <v>9</v>
      </c>
      <c r="M97" s="32" t="s">
        <v>10</v>
      </c>
      <c r="N97" s="32" t="s">
        <v>11</v>
      </c>
      <c r="O97" s="32" t="s">
        <v>12</v>
      </c>
      <c r="P97" s="32" t="s">
        <v>13</v>
      </c>
      <c r="Q97" s="32" t="s">
        <v>14</v>
      </c>
      <c r="R97" s="32" t="s">
        <v>15</v>
      </c>
      <c r="S97" s="32" t="s">
        <v>16</v>
      </c>
      <c r="T97" s="32" t="s">
        <v>17</v>
      </c>
      <c r="U97" s="32" t="s">
        <v>18</v>
      </c>
      <c r="V97" s="32" t="s">
        <v>19</v>
      </c>
      <c r="W97" s="32" t="s">
        <v>20</v>
      </c>
      <c r="X97" s="32" t="s">
        <v>21</v>
      </c>
      <c r="Y97" s="32" t="s">
        <v>22</v>
      </c>
      <c r="Z97" s="32" t="s">
        <v>23</v>
      </c>
      <c r="AA97" s="32" t="s">
        <v>24</v>
      </c>
    </row>
    <row r="98" spans="1:27" x14ac:dyDescent="0.25">
      <c r="A98" s="52" t="str">
        <f t="shared" si="2"/>
        <v>6179-847431</v>
      </c>
      <c r="B98" s="53" t="str">
        <f t="shared" si="3"/>
        <v>SERIE: 56F20826- POS CONTACTLESS CHIP -  VAUCHER N° 0000272 -  OP: 847431</v>
      </c>
      <c r="C98" s="33" t="s">
        <v>1066</v>
      </c>
      <c r="D98" s="33" t="s">
        <v>26</v>
      </c>
      <c r="E98" s="33" t="s">
        <v>27</v>
      </c>
      <c r="F98" s="33" t="s">
        <v>28</v>
      </c>
      <c r="G98" s="33" t="s">
        <v>29</v>
      </c>
      <c r="H98" s="33" t="s">
        <v>1067</v>
      </c>
      <c r="I98" s="33" t="s">
        <v>29</v>
      </c>
      <c r="J98" s="33" t="s">
        <v>29</v>
      </c>
      <c r="K98" s="33" t="s">
        <v>31</v>
      </c>
      <c r="L98" s="33" t="s">
        <v>32</v>
      </c>
      <c r="M98" s="34">
        <v>102</v>
      </c>
      <c r="N98" s="34">
        <v>3.01</v>
      </c>
      <c r="O98" s="34">
        <v>0.54</v>
      </c>
      <c r="P98" s="34">
        <v>98.45</v>
      </c>
      <c r="Q98" s="34">
        <v>98.45</v>
      </c>
      <c r="R98" s="33" t="s">
        <v>1068</v>
      </c>
      <c r="S98" s="33" t="s">
        <v>771</v>
      </c>
      <c r="T98" s="33" t="s">
        <v>1069</v>
      </c>
      <c r="U98" s="33" t="s">
        <v>36</v>
      </c>
      <c r="V98" s="33" t="s">
        <v>1070</v>
      </c>
      <c r="W98" s="33">
        <v>847431</v>
      </c>
      <c r="X98" s="33"/>
      <c r="Y98" s="33"/>
      <c r="Z98" s="31">
        <v>604</v>
      </c>
      <c r="AA98" s="31" t="s">
        <v>1071</v>
      </c>
    </row>
    <row r="99" spans="1:27" x14ac:dyDescent="0.25">
      <c r="A99" s="52" t="str">
        <f t="shared" si="2"/>
        <v>6179-R06901</v>
      </c>
      <c r="B99" s="53" t="str">
        <f t="shared" si="3"/>
        <v>SERIE: 56F20826- POS CONTACTLESS CHIP -  VAUCHER N° 0000278 -  OP: R06901</v>
      </c>
      <c r="C99" s="33" t="s">
        <v>1066</v>
      </c>
      <c r="D99" s="33" t="s">
        <v>26</v>
      </c>
      <c r="E99" s="33" t="s">
        <v>27</v>
      </c>
      <c r="F99" s="33" t="s">
        <v>28</v>
      </c>
      <c r="G99" s="33" t="s">
        <v>50</v>
      </c>
      <c r="H99" s="33" t="s">
        <v>1072</v>
      </c>
      <c r="I99" s="33" t="s">
        <v>50</v>
      </c>
      <c r="J99" s="33" t="s">
        <v>50</v>
      </c>
      <c r="K99" s="33" t="s">
        <v>71</v>
      </c>
      <c r="L99" s="33" t="s">
        <v>32</v>
      </c>
      <c r="M99" s="34">
        <v>140</v>
      </c>
      <c r="N99" s="34">
        <v>5.53</v>
      </c>
      <c r="O99" s="34">
        <v>1</v>
      </c>
      <c r="P99" s="34">
        <v>133.47</v>
      </c>
      <c r="Q99" s="34">
        <v>133.47</v>
      </c>
      <c r="R99" s="33" t="s">
        <v>1073</v>
      </c>
      <c r="S99" s="33" t="s">
        <v>771</v>
      </c>
      <c r="T99" s="33" t="s">
        <v>987</v>
      </c>
      <c r="U99" s="33" t="s">
        <v>63</v>
      </c>
      <c r="V99" s="33" t="s">
        <v>1074</v>
      </c>
      <c r="W99" s="33" t="s">
        <v>1075</v>
      </c>
      <c r="X99" s="33"/>
      <c r="Y99" s="33"/>
      <c r="Z99" s="31">
        <v>604</v>
      </c>
      <c r="AA99" s="31" t="s">
        <v>1071</v>
      </c>
    </row>
    <row r="100" spans="1:27" x14ac:dyDescent="0.25">
      <c r="A100" s="52" t="str">
        <f t="shared" si="2"/>
        <v>6179-949584</v>
      </c>
      <c r="B100" s="53" t="str">
        <f t="shared" si="3"/>
        <v>SERIE: 56F20826- POS CONTACTLESS CHIP -  VAUCHER N° 0000288 -  OP: 949584</v>
      </c>
      <c r="C100" s="33" t="s">
        <v>1066</v>
      </c>
      <c r="D100" s="33" t="s">
        <v>26</v>
      </c>
      <c r="E100" s="33" t="s">
        <v>27</v>
      </c>
      <c r="F100" s="33" t="s">
        <v>28</v>
      </c>
      <c r="G100" s="33" t="s">
        <v>170</v>
      </c>
      <c r="H100" s="33" t="s">
        <v>1076</v>
      </c>
      <c r="I100" s="33" t="s">
        <v>170</v>
      </c>
      <c r="J100" s="33" t="s">
        <v>170</v>
      </c>
      <c r="K100" s="33" t="s">
        <v>182</v>
      </c>
      <c r="L100" s="33" t="s">
        <v>32</v>
      </c>
      <c r="M100" s="34">
        <v>40</v>
      </c>
      <c r="N100" s="34">
        <v>1.18</v>
      </c>
      <c r="O100" s="34">
        <v>0.21</v>
      </c>
      <c r="P100" s="34">
        <v>38.61</v>
      </c>
      <c r="Q100" s="34">
        <v>243.46</v>
      </c>
      <c r="R100" s="33" t="s">
        <v>1077</v>
      </c>
      <c r="S100" s="33" t="s">
        <v>771</v>
      </c>
      <c r="T100" s="33" t="s">
        <v>1078</v>
      </c>
      <c r="U100" s="33" t="s">
        <v>36</v>
      </c>
      <c r="V100" s="33" t="s">
        <v>1079</v>
      </c>
      <c r="W100" s="33">
        <v>949584</v>
      </c>
      <c r="X100" s="33"/>
      <c r="Y100" s="33"/>
      <c r="Z100" s="31">
        <v>604</v>
      </c>
      <c r="AA100" s="31" t="s">
        <v>1071</v>
      </c>
    </row>
    <row r="101" spans="1:27" x14ac:dyDescent="0.25">
      <c r="A101" s="52" t="str">
        <f t="shared" si="2"/>
        <v>6179-017851</v>
      </c>
      <c r="B101" s="53" t="str">
        <f t="shared" si="3"/>
        <v>SERIE: 56F20826- POS CONTACTLESS CHIP -  VAUCHER N° 0000286 -  OP: 017851</v>
      </c>
      <c r="C101" s="33" t="s">
        <v>1066</v>
      </c>
      <c r="D101" s="33" t="s">
        <v>26</v>
      </c>
      <c r="E101" s="33" t="s">
        <v>27</v>
      </c>
      <c r="F101" s="33" t="s">
        <v>28</v>
      </c>
      <c r="G101" s="33" t="s">
        <v>170</v>
      </c>
      <c r="H101" s="33" t="s">
        <v>1080</v>
      </c>
      <c r="I101" s="33" t="s">
        <v>170</v>
      </c>
      <c r="J101" s="33" t="s">
        <v>170</v>
      </c>
      <c r="K101" s="33" t="s">
        <v>182</v>
      </c>
      <c r="L101" s="33" t="s">
        <v>32</v>
      </c>
      <c r="M101" s="34">
        <v>107</v>
      </c>
      <c r="N101" s="34">
        <v>3.16</v>
      </c>
      <c r="O101" s="34">
        <v>0.56999999999999995</v>
      </c>
      <c r="P101" s="34">
        <v>103.27</v>
      </c>
      <c r="Q101" s="34">
        <v>0</v>
      </c>
      <c r="R101" s="33" t="s">
        <v>1077</v>
      </c>
      <c r="S101" s="33" t="s">
        <v>771</v>
      </c>
      <c r="T101" s="33" t="s">
        <v>1081</v>
      </c>
      <c r="U101" s="33" t="s">
        <v>36</v>
      </c>
      <c r="V101" s="33" t="s">
        <v>1082</v>
      </c>
      <c r="W101" s="33" t="s">
        <v>1083</v>
      </c>
      <c r="X101" s="33"/>
      <c r="Y101" s="33"/>
      <c r="Z101" s="31">
        <v>604</v>
      </c>
      <c r="AA101" s="31" t="s">
        <v>1071</v>
      </c>
    </row>
    <row r="102" spans="1:27" x14ac:dyDescent="0.25">
      <c r="A102" s="52" t="str">
        <f t="shared" si="2"/>
        <v>6179-008224</v>
      </c>
      <c r="B102" s="53" t="str">
        <f t="shared" si="3"/>
        <v>SERIE: 56F20826- POS CONTACTLESS CHIP -  VAUCHER N° 0000283 -  OP: 008224</v>
      </c>
      <c r="C102" s="33" t="s">
        <v>1066</v>
      </c>
      <c r="D102" s="33" t="s">
        <v>26</v>
      </c>
      <c r="E102" s="33" t="s">
        <v>27</v>
      </c>
      <c r="F102" s="33" t="s">
        <v>28</v>
      </c>
      <c r="G102" s="33" t="s">
        <v>170</v>
      </c>
      <c r="H102" s="33" t="s">
        <v>1084</v>
      </c>
      <c r="I102" s="33" t="s">
        <v>170</v>
      </c>
      <c r="J102" s="33" t="s">
        <v>170</v>
      </c>
      <c r="K102" s="33" t="s">
        <v>182</v>
      </c>
      <c r="L102" s="33" t="s">
        <v>32</v>
      </c>
      <c r="M102" s="34">
        <v>106.55</v>
      </c>
      <c r="N102" s="34">
        <v>4.21</v>
      </c>
      <c r="O102" s="34">
        <v>0.76</v>
      </c>
      <c r="P102" s="34">
        <v>101.58</v>
      </c>
      <c r="Q102" s="34">
        <v>0</v>
      </c>
      <c r="R102" s="33" t="s">
        <v>1077</v>
      </c>
      <c r="S102" s="33" t="s">
        <v>771</v>
      </c>
      <c r="T102" s="33" t="s">
        <v>999</v>
      </c>
      <c r="U102" s="33" t="s">
        <v>36</v>
      </c>
      <c r="V102" s="33" t="s">
        <v>1085</v>
      </c>
      <c r="W102" s="33" t="s">
        <v>1086</v>
      </c>
      <c r="X102" s="33"/>
      <c r="Y102" s="33"/>
      <c r="Z102" s="31">
        <v>604</v>
      </c>
      <c r="AA102" s="31" t="s">
        <v>1071</v>
      </c>
    </row>
    <row r="103" spans="1:27" x14ac:dyDescent="0.25">
      <c r="A103" s="52" t="str">
        <f t="shared" si="2"/>
        <v>6179-066938</v>
      </c>
      <c r="B103" s="53" t="str">
        <f t="shared" si="3"/>
        <v>SERIE: 56F20826- QPS CONTACTLESS CHIP -  VAUCHER N° 0000294 -  OP: 066938</v>
      </c>
      <c r="C103" s="33" t="s">
        <v>1066</v>
      </c>
      <c r="D103" s="33" t="s">
        <v>26</v>
      </c>
      <c r="E103" s="33" t="s">
        <v>1087</v>
      </c>
      <c r="F103" s="33" t="s">
        <v>28</v>
      </c>
      <c r="G103" s="33" t="s">
        <v>182</v>
      </c>
      <c r="H103" s="33" t="s">
        <v>1088</v>
      </c>
      <c r="I103" s="33" t="s">
        <v>182</v>
      </c>
      <c r="J103" s="33" t="s">
        <v>182</v>
      </c>
      <c r="K103" s="33" t="s">
        <v>196</v>
      </c>
      <c r="L103" s="33" t="s">
        <v>32</v>
      </c>
      <c r="M103" s="34">
        <v>90</v>
      </c>
      <c r="N103" s="34">
        <v>3.56</v>
      </c>
      <c r="O103" s="34">
        <v>0.64</v>
      </c>
      <c r="P103" s="34">
        <v>85.8</v>
      </c>
      <c r="Q103" s="34">
        <v>85.8</v>
      </c>
      <c r="R103" s="33" t="s">
        <v>1089</v>
      </c>
      <c r="S103" s="33" t="s">
        <v>771</v>
      </c>
      <c r="T103" s="33" t="s">
        <v>1010</v>
      </c>
      <c r="U103" s="33" t="s">
        <v>1090</v>
      </c>
      <c r="V103" s="33" t="s">
        <v>1091</v>
      </c>
      <c r="W103" s="33" t="s">
        <v>1092</v>
      </c>
      <c r="X103" s="33" t="s">
        <v>250</v>
      </c>
      <c r="Y103" s="33"/>
      <c r="Z103" s="31">
        <v>604</v>
      </c>
      <c r="AA103" s="31" t="s">
        <v>1071</v>
      </c>
    </row>
    <row r="104" spans="1:27" x14ac:dyDescent="0.25">
      <c r="A104" s="52" t="str">
        <f t="shared" si="2"/>
        <v>6179-082684</v>
      </c>
      <c r="B104" s="53" t="str">
        <f t="shared" si="3"/>
        <v>SERIE: 56F20826- POS CONTACTLESS CHIP -  VAUCHER N° 0000299 -  OP: 082684</v>
      </c>
      <c r="C104" s="33" t="s">
        <v>1066</v>
      </c>
      <c r="D104" s="33" t="s">
        <v>26</v>
      </c>
      <c r="E104" s="33" t="s">
        <v>27</v>
      </c>
      <c r="F104" s="33" t="s">
        <v>28</v>
      </c>
      <c r="G104" s="33" t="s">
        <v>196</v>
      </c>
      <c r="H104" s="33" t="s">
        <v>1093</v>
      </c>
      <c r="I104" s="33" t="s">
        <v>196</v>
      </c>
      <c r="J104" s="33" t="s">
        <v>196</v>
      </c>
      <c r="K104" s="33" t="s">
        <v>226</v>
      </c>
      <c r="L104" s="33" t="s">
        <v>32</v>
      </c>
      <c r="M104" s="34">
        <v>121.01</v>
      </c>
      <c r="N104" s="34">
        <v>3.57</v>
      </c>
      <c r="O104" s="34">
        <v>0.64</v>
      </c>
      <c r="P104" s="34">
        <v>116.8</v>
      </c>
      <c r="Q104" s="34">
        <v>116.8</v>
      </c>
      <c r="R104" s="33" t="s">
        <v>1094</v>
      </c>
      <c r="S104" s="33" t="s">
        <v>771</v>
      </c>
      <c r="T104" s="33" t="s">
        <v>1095</v>
      </c>
      <c r="U104" s="33" t="s">
        <v>36</v>
      </c>
      <c r="V104" s="33" t="s">
        <v>1096</v>
      </c>
      <c r="W104" s="33" t="s">
        <v>1097</v>
      </c>
      <c r="X104" s="33"/>
      <c r="Y104" s="33"/>
      <c r="Z104" s="31">
        <v>604</v>
      </c>
      <c r="AA104" s="31" t="s">
        <v>1071</v>
      </c>
    </row>
    <row r="105" spans="1:27" x14ac:dyDescent="0.25">
      <c r="A105" s="52" t="str">
        <f t="shared" si="2"/>
        <v>6179-431372</v>
      </c>
      <c r="B105" s="53" t="str">
        <f t="shared" si="3"/>
        <v>SERIE: 56F20826- POS CONTACTLESS CHIP -  VAUCHER N° 0000308 -  OP: 431372</v>
      </c>
      <c r="C105" s="33" t="s">
        <v>1066</v>
      </c>
      <c r="D105" s="33" t="s">
        <v>26</v>
      </c>
      <c r="E105" s="33" t="s">
        <v>27</v>
      </c>
      <c r="F105" s="33" t="s">
        <v>28</v>
      </c>
      <c r="G105" s="33" t="s">
        <v>246</v>
      </c>
      <c r="H105" s="33" t="s">
        <v>1098</v>
      </c>
      <c r="I105" s="33" t="s">
        <v>246</v>
      </c>
      <c r="J105" s="33" t="s">
        <v>246</v>
      </c>
      <c r="K105" s="33" t="s">
        <v>266</v>
      </c>
      <c r="L105" s="33" t="s">
        <v>32</v>
      </c>
      <c r="M105" s="34">
        <v>235</v>
      </c>
      <c r="N105" s="34">
        <v>6.93</v>
      </c>
      <c r="O105" s="34">
        <v>1.25</v>
      </c>
      <c r="P105" s="34">
        <v>226.82</v>
      </c>
      <c r="Q105" s="34">
        <v>226.82</v>
      </c>
      <c r="R105" s="33" t="s">
        <v>932</v>
      </c>
      <c r="S105" s="33" t="s">
        <v>771</v>
      </c>
      <c r="T105" s="33" t="s">
        <v>1099</v>
      </c>
      <c r="U105" s="33" t="s">
        <v>36</v>
      </c>
      <c r="V105" s="33" t="s">
        <v>1100</v>
      </c>
      <c r="W105" s="33">
        <v>431372</v>
      </c>
      <c r="X105" s="33"/>
      <c r="Y105" s="33"/>
      <c r="Z105" s="31">
        <v>604</v>
      </c>
      <c r="AA105" s="31" t="s">
        <v>1071</v>
      </c>
    </row>
    <row r="106" spans="1:27" x14ac:dyDescent="0.25">
      <c r="A106" s="52" t="str">
        <f t="shared" si="2"/>
        <v>6179-438102</v>
      </c>
      <c r="B106" s="53" t="str">
        <f t="shared" si="3"/>
        <v>SERIE: MPP002LL3- POS QR -  VAUCHER N° 0042723 -  OP: 438102</v>
      </c>
      <c r="C106" s="33" t="s">
        <v>1066</v>
      </c>
      <c r="D106" s="33" t="s">
        <v>26</v>
      </c>
      <c r="E106" s="33" t="s">
        <v>43</v>
      </c>
      <c r="F106" s="33" t="s">
        <v>28</v>
      </c>
      <c r="G106" s="33" t="s">
        <v>266</v>
      </c>
      <c r="H106" s="33" t="s">
        <v>1101</v>
      </c>
      <c r="I106" s="33" t="s">
        <v>266</v>
      </c>
      <c r="J106" s="33" t="s">
        <v>266</v>
      </c>
      <c r="K106" s="33" t="s">
        <v>281</v>
      </c>
      <c r="L106" s="33" t="s">
        <v>32</v>
      </c>
      <c r="M106" s="34">
        <v>80</v>
      </c>
      <c r="N106" s="34">
        <v>2.36</v>
      </c>
      <c r="O106" s="34">
        <v>0.42</v>
      </c>
      <c r="P106" s="34">
        <v>77.22</v>
      </c>
      <c r="Q106" s="34">
        <v>77.22</v>
      </c>
      <c r="R106" s="33" t="s">
        <v>949</v>
      </c>
      <c r="S106" s="33" t="s">
        <v>798</v>
      </c>
      <c r="T106" s="33" t="s">
        <v>1102</v>
      </c>
      <c r="U106" s="33" t="s">
        <v>36</v>
      </c>
      <c r="V106" s="33" t="s">
        <v>1103</v>
      </c>
      <c r="W106" s="33">
        <v>438102</v>
      </c>
      <c r="X106" s="33"/>
      <c r="Y106" s="33"/>
      <c r="Z106" s="31">
        <v>604</v>
      </c>
      <c r="AA106" s="31" t="s">
        <v>799</v>
      </c>
    </row>
    <row r="107" spans="1:27" x14ac:dyDescent="0.25">
      <c r="A107" s="52" t="str">
        <f t="shared" si="2"/>
        <v>6179-000388</v>
      </c>
      <c r="B107" s="53" t="str">
        <f t="shared" si="3"/>
        <v>SERIE: 56F20826- POS CONTACTLESS CHIP -  VAUCHER N° 0000326 -  OP: 000388</v>
      </c>
      <c r="C107" s="33" t="s">
        <v>1066</v>
      </c>
      <c r="D107" s="33" t="s">
        <v>26</v>
      </c>
      <c r="E107" s="33" t="s">
        <v>27</v>
      </c>
      <c r="F107" s="33" t="s">
        <v>28</v>
      </c>
      <c r="G107" s="33" t="s">
        <v>408</v>
      </c>
      <c r="H107" s="33" t="s">
        <v>1104</v>
      </c>
      <c r="I107" s="33" t="s">
        <v>408</v>
      </c>
      <c r="J107" s="33" t="s">
        <v>408</v>
      </c>
      <c r="K107" s="33" t="s">
        <v>412</v>
      </c>
      <c r="L107" s="33" t="s">
        <v>32</v>
      </c>
      <c r="M107" s="34">
        <v>100.01</v>
      </c>
      <c r="N107" s="34">
        <v>3.95</v>
      </c>
      <c r="O107" s="34">
        <v>0.71</v>
      </c>
      <c r="P107" s="34">
        <v>95.35</v>
      </c>
      <c r="Q107" s="34">
        <v>95.35</v>
      </c>
      <c r="R107" s="33" t="s">
        <v>956</v>
      </c>
      <c r="S107" s="33" t="s">
        <v>771</v>
      </c>
      <c r="T107" s="33" t="s">
        <v>1105</v>
      </c>
      <c r="U107" s="33" t="s">
        <v>36</v>
      </c>
      <c r="V107" s="33" t="s">
        <v>1106</v>
      </c>
      <c r="W107" s="33" t="s">
        <v>1107</v>
      </c>
      <c r="X107" s="33"/>
      <c r="Y107" s="33"/>
      <c r="Z107" s="31">
        <v>604</v>
      </c>
      <c r="AA107" s="31" t="s">
        <v>1071</v>
      </c>
    </row>
    <row r="108" spans="1:27" x14ac:dyDescent="0.25">
      <c r="A108" s="52" t="str">
        <f t="shared" si="2"/>
        <v>DIGO-CODIGO DE AUTORIZACION</v>
      </c>
      <c r="B108" s="53" t="str">
        <f t="shared" si="3"/>
        <v>SERIE: SERIE TERMINAL- TIPO DE CAPTURA -  VAUCHER N° NUM DE REF (VOUCHER) -  OP: CODIGO DE AUTORIZACION</v>
      </c>
      <c r="C108" s="36" t="s">
        <v>0</v>
      </c>
      <c r="D108" s="36" t="s">
        <v>1</v>
      </c>
      <c r="E108" s="36" t="s">
        <v>2</v>
      </c>
      <c r="F108" s="36" t="s">
        <v>3</v>
      </c>
      <c r="G108" s="36" t="s">
        <v>4</v>
      </c>
      <c r="H108" s="36" t="s">
        <v>5</v>
      </c>
      <c r="I108" s="36" t="s">
        <v>6</v>
      </c>
      <c r="J108" s="36" t="s">
        <v>7</v>
      </c>
      <c r="K108" s="36" t="s">
        <v>8</v>
      </c>
      <c r="L108" s="36" t="s">
        <v>9</v>
      </c>
      <c r="M108" s="36" t="s">
        <v>10</v>
      </c>
      <c r="N108" s="36" t="s">
        <v>11</v>
      </c>
      <c r="O108" s="36" t="s">
        <v>12</v>
      </c>
      <c r="P108" s="36" t="s">
        <v>13</v>
      </c>
      <c r="Q108" s="36" t="s">
        <v>14</v>
      </c>
      <c r="R108" s="36" t="s">
        <v>15</v>
      </c>
      <c r="S108" s="36" t="s">
        <v>16</v>
      </c>
      <c r="T108" s="36" t="s">
        <v>17</v>
      </c>
      <c r="U108" s="36" t="s">
        <v>18</v>
      </c>
      <c r="V108" s="36" t="s">
        <v>19</v>
      </c>
      <c r="W108" s="36" t="s">
        <v>20</v>
      </c>
      <c r="X108" s="36" t="s">
        <v>21</v>
      </c>
      <c r="Y108" s="36" t="s">
        <v>22</v>
      </c>
      <c r="Z108" s="36" t="s">
        <v>23</v>
      </c>
      <c r="AA108" s="36" t="s">
        <v>24</v>
      </c>
    </row>
    <row r="109" spans="1:27" x14ac:dyDescent="0.25">
      <c r="A109" s="52" t="str">
        <f t="shared" si="2"/>
        <v>6057-234831</v>
      </c>
      <c r="B109" s="53" t="str">
        <f t="shared" si="3"/>
        <v>SERIE: 56E20603- POS CONTACTLESS CHIP -  VAUCHER N° 0000536 -  OP: 234831</v>
      </c>
      <c r="C109" s="37" t="s">
        <v>1108</v>
      </c>
      <c r="D109" s="37" t="s">
        <v>26</v>
      </c>
      <c r="E109" s="37" t="s">
        <v>27</v>
      </c>
      <c r="F109" s="37" t="s">
        <v>28</v>
      </c>
      <c r="G109" s="37" t="s">
        <v>29</v>
      </c>
      <c r="H109" s="37" t="s">
        <v>1109</v>
      </c>
      <c r="I109" s="37" t="s">
        <v>29</v>
      </c>
      <c r="J109" s="37" t="s">
        <v>29</v>
      </c>
      <c r="K109" s="37" t="s">
        <v>31</v>
      </c>
      <c r="L109" s="37" t="s">
        <v>32</v>
      </c>
      <c r="M109" s="38">
        <v>41.75</v>
      </c>
      <c r="N109" s="38">
        <v>1.23</v>
      </c>
      <c r="O109" s="38">
        <v>0.22</v>
      </c>
      <c r="P109" s="38">
        <v>40.299999999999997</v>
      </c>
      <c r="Q109" s="38">
        <v>40.299999999999997</v>
      </c>
      <c r="R109" s="37" t="s">
        <v>1110</v>
      </c>
      <c r="S109" s="37" t="s">
        <v>771</v>
      </c>
      <c r="T109" s="37" t="s">
        <v>1111</v>
      </c>
      <c r="U109" s="37" t="s">
        <v>36</v>
      </c>
      <c r="V109" s="37" t="s">
        <v>37</v>
      </c>
      <c r="W109" s="37">
        <v>234831</v>
      </c>
      <c r="X109" s="37"/>
      <c r="Y109" s="37"/>
      <c r="Z109" s="35">
        <v>604</v>
      </c>
      <c r="AA109" s="35" t="s">
        <v>1112</v>
      </c>
    </row>
    <row r="110" spans="1:27" x14ac:dyDescent="0.25">
      <c r="A110" s="52" t="str">
        <f t="shared" si="2"/>
        <v>6057-889657</v>
      </c>
      <c r="B110" s="53" t="str">
        <f t="shared" si="3"/>
        <v>SERIE: MPP002LL3- POS QR -  VAUCHER N° 6016007 -  OP: 889657</v>
      </c>
      <c r="C110" s="37" t="s">
        <v>1108</v>
      </c>
      <c r="D110" s="37" t="s">
        <v>26</v>
      </c>
      <c r="E110" s="37" t="s">
        <v>43</v>
      </c>
      <c r="F110" s="37" t="s">
        <v>28</v>
      </c>
      <c r="G110" s="37" t="s">
        <v>31</v>
      </c>
      <c r="H110" s="37" t="s">
        <v>1113</v>
      </c>
      <c r="I110" s="37" t="s">
        <v>31</v>
      </c>
      <c r="J110" s="37" t="s">
        <v>31</v>
      </c>
      <c r="K110" s="37" t="s">
        <v>50</v>
      </c>
      <c r="L110" s="37" t="s">
        <v>32</v>
      </c>
      <c r="M110" s="38">
        <v>82</v>
      </c>
      <c r="N110" s="38">
        <v>2.42</v>
      </c>
      <c r="O110" s="38">
        <v>0.44</v>
      </c>
      <c r="P110" s="38">
        <v>79.14</v>
      </c>
      <c r="Q110" s="38">
        <v>79.14</v>
      </c>
      <c r="R110" s="37" t="s">
        <v>1114</v>
      </c>
      <c r="S110" s="37" t="s">
        <v>798</v>
      </c>
      <c r="T110" s="37">
        <v>6016007</v>
      </c>
      <c r="U110" s="37" t="s">
        <v>36</v>
      </c>
      <c r="V110" s="37" t="s">
        <v>60</v>
      </c>
      <c r="W110" s="37">
        <v>889657</v>
      </c>
      <c r="X110" s="37"/>
      <c r="Y110" s="37"/>
      <c r="Z110" s="35">
        <v>604</v>
      </c>
      <c r="AA110" s="35" t="s">
        <v>799</v>
      </c>
    </row>
    <row r="111" spans="1:27" x14ac:dyDescent="0.25">
      <c r="A111" s="52" t="str">
        <f t="shared" si="2"/>
        <v>6057-479176</v>
      </c>
      <c r="B111" s="53" t="str">
        <f t="shared" si="3"/>
        <v>SERIE: MPP002LL3- POS QR -  VAUCHER N° 7032034 -  OP: 479176</v>
      </c>
      <c r="C111" s="37" t="s">
        <v>1108</v>
      </c>
      <c r="D111" s="37" t="s">
        <v>26</v>
      </c>
      <c r="E111" s="37" t="s">
        <v>43</v>
      </c>
      <c r="F111" s="37" t="s">
        <v>28</v>
      </c>
      <c r="G111" s="37" t="s">
        <v>50</v>
      </c>
      <c r="H111" s="37" t="s">
        <v>1115</v>
      </c>
      <c r="I111" s="37" t="s">
        <v>71</v>
      </c>
      <c r="J111" s="37" t="s">
        <v>50</v>
      </c>
      <c r="K111" s="37" t="s">
        <v>71</v>
      </c>
      <c r="L111" s="37" t="s">
        <v>32</v>
      </c>
      <c r="M111" s="38">
        <v>50</v>
      </c>
      <c r="N111" s="38">
        <v>1.48</v>
      </c>
      <c r="O111" s="38">
        <v>0.27</v>
      </c>
      <c r="P111" s="38">
        <v>48.25</v>
      </c>
      <c r="Q111" s="38">
        <v>226.81</v>
      </c>
      <c r="R111" s="37" t="s">
        <v>1116</v>
      </c>
      <c r="S111" s="37" t="s">
        <v>798</v>
      </c>
      <c r="T111" s="37">
        <v>7032034</v>
      </c>
      <c r="U111" s="37" t="s">
        <v>36</v>
      </c>
      <c r="V111" s="37" t="s">
        <v>364</v>
      </c>
      <c r="W111" s="37">
        <v>479176</v>
      </c>
      <c r="X111" s="37"/>
      <c r="Y111" s="37"/>
      <c r="Z111" s="35">
        <v>604</v>
      </c>
      <c r="AA111" s="35" t="s">
        <v>799</v>
      </c>
    </row>
    <row r="112" spans="1:27" x14ac:dyDescent="0.25">
      <c r="A112" s="52" t="str">
        <f t="shared" si="2"/>
        <v>6057-039319</v>
      </c>
      <c r="B112" s="53" t="str">
        <f t="shared" si="3"/>
        <v>SERIE: MPP002LL3- POS QR -  VAUCHER N° 0002584 -  OP: 039319</v>
      </c>
      <c r="C112" s="37" t="s">
        <v>1108</v>
      </c>
      <c r="D112" s="37" t="s">
        <v>26</v>
      </c>
      <c r="E112" s="37" t="s">
        <v>43</v>
      </c>
      <c r="F112" s="37" t="s">
        <v>28</v>
      </c>
      <c r="G112" s="37" t="s">
        <v>50</v>
      </c>
      <c r="H112" s="37" t="s">
        <v>1117</v>
      </c>
      <c r="I112" s="37" t="s">
        <v>71</v>
      </c>
      <c r="J112" s="37" t="s">
        <v>50</v>
      </c>
      <c r="K112" s="37" t="s">
        <v>71</v>
      </c>
      <c r="L112" s="37" t="s">
        <v>32</v>
      </c>
      <c r="M112" s="38">
        <v>185</v>
      </c>
      <c r="N112" s="38">
        <v>5.46</v>
      </c>
      <c r="O112" s="38">
        <v>0.98</v>
      </c>
      <c r="P112" s="38">
        <v>178.56</v>
      </c>
      <c r="Q112" s="38">
        <v>0</v>
      </c>
      <c r="R112" s="37" t="s">
        <v>1116</v>
      </c>
      <c r="S112" s="37" t="s">
        <v>798</v>
      </c>
      <c r="T112" s="37" t="s">
        <v>1118</v>
      </c>
      <c r="U112" s="37" t="s">
        <v>36</v>
      </c>
      <c r="V112" s="37" t="s">
        <v>46</v>
      </c>
      <c r="W112" s="37" t="s">
        <v>1119</v>
      </c>
      <c r="X112" s="37"/>
      <c r="Y112" s="37"/>
      <c r="Z112" s="35">
        <v>604</v>
      </c>
      <c r="AA112" s="35" t="s">
        <v>799</v>
      </c>
    </row>
    <row r="113" spans="1:27" x14ac:dyDescent="0.25">
      <c r="A113" s="52" t="str">
        <f t="shared" si="2"/>
        <v>6057-044973</v>
      </c>
      <c r="B113" s="53" t="str">
        <f t="shared" si="3"/>
        <v>SERIE: 56E20603- POS CONTACTLESS CHIP -  VAUCHER N° 0000556 -  OP: 044973</v>
      </c>
      <c r="C113" s="37" t="s">
        <v>1108</v>
      </c>
      <c r="D113" s="37" t="s">
        <v>26</v>
      </c>
      <c r="E113" s="37" t="s">
        <v>27</v>
      </c>
      <c r="F113" s="37" t="s">
        <v>28</v>
      </c>
      <c r="G113" s="37" t="s">
        <v>71</v>
      </c>
      <c r="H113" s="37" t="s">
        <v>1120</v>
      </c>
      <c r="I113" s="37" t="s">
        <v>71</v>
      </c>
      <c r="J113" s="37" t="s">
        <v>71</v>
      </c>
      <c r="K113" s="37" t="s">
        <v>92</v>
      </c>
      <c r="L113" s="37" t="s">
        <v>32</v>
      </c>
      <c r="M113" s="38">
        <v>78</v>
      </c>
      <c r="N113" s="38">
        <v>3.08</v>
      </c>
      <c r="O113" s="38">
        <v>0.55000000000000004</v>
      </c>
      <c r="P113" s="38">
        <v>74.37</v>
      </c>
      <c r="Q113" s="38">
        <v>74.37</v>
      </c>
      <c r="R113" s="37" t="s">
        <v>1121</v>
      </c>
      <c r="S113" s="37" t="s">
        <v>771</v>
      </c>
      <c r="T113" s="37" t="s">
        <v>1122</v>
      </c>
      <c r="U113" s="37" t="s">
        <v>36</v>
      </c>
      <c r="V113" s="37" t="s">
        <v>99</v>
      </c>
      <c r="W113" s="37" t="s">
        <v>1123</v>
      </c>
      <c r="X113" s="37"/>
      <c r="Y113" s="37"/>
      <c r="Z113" s="35">
        <v>604</v>
      </c>
      <c r="AA113" s="35" t="s">
        <v>1112</v>
      </c>
    </row>
    <row r="114" spans="1:27" x14ac:dyDescent="0.25">
      <c r="A114" s="52" t="str">
        <f t="shared" si="2"/>
        <v>6057-845405</v>
      </c>
      <c r="B114" s="53" t="str">
        <f t="shared" si="3"/>
        <v>SERIE: MPP002LL3- POS QR -  VAUCHER N° 4045603 -  OP: 845405</v>
      </c>
      <c r="C114" s="37" t="s">
        <v>1108</v>
      </c>
      <c r="D114" s="37" t="s">
        <v>26</v>
      </c>
      <c r="E114" s="37" t="s">
        <v>43</v>
      </c>
      <c r="F114" s="37" t="s">
        <v>28</v>
      </c>
      <c r="G114" s="37" t="s">
        <v>136</v>
      </c>
      <c r="H114" s="37" t="s">
        <v>1124</v>
      </c>
      <c r="I114" s="37" t="s">
        <v>150</v>
      </c>
      <c r="J114" s="37" t="s">
        <v>136</v>
      </c>
      <c r="K114" s="37" t="s">
        <v>150</v>
      </c>
      <c r="L114" s="37" t="s">
        <v>32</v>
      </c>
      <c r="M114" s="38">
        <v>48</v>
      </c>
      <c r="N114" s="38">
        <v>1.42</v>
      </c>
      <c r="O114" s="38">
        <v>0.26</v>
      </c>
      <c r="P114" s="38">
        <v>46.32</v>
      </c>
      <c r="Q114" s="38">
        <v>437.87</v>
      </c>
      <c r="R114" s="37" t="s">
        <v>1125</v>
      </c>
      <c r="S114" s="37" t="s">
        <v>798</v>
      </c>
      <c r="T114" s="37">
        <v>4045603</v>
      </c>
      <c r="U114" s="37" t="s">
        <v>36</v>
      </c>
      <c r="V114" s="37" t="s">
        <v>165</v>
      </c>
      <c r="W114" s="37">
        <v>845405</v>
      </c>
      <c r="X114" s="37"/>
      <c r="Y114" s="37"/>
      <c r="Z114" s="35">
        <v>604</v>
      </c>
      <c r="AA114" s="35" t="s">
        <v>799</v>
      </c>
    </row>
    <row r="115" spans="1:27" x14ac:dyDescent="0.25">
      <c r="A115" s="52" t="str">
        <f t="shared" si="2"/>
        <v>6057-810606</v>
      </c>
      <c r="B115" s="53" t="str">
        <f t="shared" si="3"/>
        <v>SERIE: MPP002LL3- POS QR -  VAUCHER N° 5029107 -  OP: 810606</v>
      </c>
      <c r="C115" s="37" t="s">
        <v>1108</v>
      </c>
      <c r="D115" s="37" t="s">
        <v>26</v>
      </c>
      <c r="E115" s="37" t="s">
        <v>43</v>
      </c>
      <c r="F115" s="37" t="s">
        <v>28</v>
      </c>
      <c r="G115" s="37" t="s">
        <v>136</v>
      </c>
      <c r="H115" s="37" t="s">
        <v>1126</v>
      </c>
      <c r="I115" s="37" t="s">
        <v>150</v>
      </c>
      <c r="J115" s="37" t="s">
        <v>136</v>
      </c>
      <c r="K115" s="37" t="s">
        <v>150</v>
      </c>
      <c r="L115" s="37" t="s">
        <v>32</v>
      </c>
      <c r="M115" s="38">
        <v>90</v>
      </c>
      <c r="N115" s="38">
        <v>2.66</v>
      </c>
      <c r="O115" s="38">
        <v>0.48</v>
      </c>
      <c r="P115" s="38">
        <v>86.86</v>
      </c>
      <c r="Q115" s="38">
        <v>0</v>
      </c>
      <c r="R115" s="37" t="s">
        <v>1125</v>
      </c>
      <c r="S115" s="37" t="s">
        <v>798</v>
      </c>
      <c r="T115" s="37">
        <v>5029107</v>
      </c>
      <c r="U115" s="37" t="s">
        <v>36</v>
      </c>
      <c r="V115" s="37" t="s">
        <v>1127</v>
      </c>
      <c r="W115" s="37">
        <v>810606</v>
      </c>
      <c r="X115" s="37"/>
      <c r="Y115" s="37"/>
      <c r="Z115" s="35">
        <v>604</v>
      </c>
      <c r="AA115" s="35" t="s">
        <v>799</v>
      </c>
    </row>
    <row r="116" spans="1:27" x14ac:dyDescent="0.25">
      <c r="A116" s="52" t="str">
        <f t="shared" si="2"/>
        <v>6057-083182</v>
      </c>
      <c r="B116" s="53" t="str">
        <f t="shared" si="3"/>
        <v>SERIE: MPP002LL3- POS QR -  VAUCHER N° 7032809 -  OP: 083182</v>
      </c>
      <c r="C116" s="37" t="s">
        <v>1108</v>
      </c>
      <c r="D116" s="37" t="s">
        <v>26</v>
      </c>
      <c r="E116" s="37" t="s">
        <v>43</v>
      </c>
      <c r="F116" s="37" t="s">
        <v>28</v>
      </c>
      <c r="G116" s="37" t="s">
        <v>136</v>
      </c>
      <c r="H116" s="37" t="s">
        <v>1128</v>
      </c>
      <c r="I116" s="37" t="s">
        <v>150</v>
      </c>
      <c r="J116" s="37" t="s">
        <v>136</v>
      </c>
      <c r="K116" s="37" t="s">
        <v>150</v>
      </c>
      <c r="L116" s="37" t="s">
        <v>32</v>
      </c>
      <c r="M116" s="38">
        <v>210</v>
      </c>
      <c r="N116" s="38">
        <v>6.2</v>
      </c>
      <c r="O116" s="38">
        <v>1.1200000000000001</v>
      </c>
      <c r="P116" s="38">
        <v>202.68</v>
      </c>
      <c r="Q116" s="38">
        <v>0</v>
      </c>
      <c r="R116" s="37" t="s">
        <v>1125</v>
      </c>
      <c r="S116" s="37" t="s">
        <v>798</v>
      </c>
      <c r="T116" s="37">
        <v>7032809</v>
      </c>
      <c r="U116" s="37" t="s">
        <v>36</v>
      </c>
      <c r="V116" s="37" t="s">
        <v>1129</v>
      </c>
      <c r="W116" s="37" t="s">
        <v>1130</v>
      </c>
      <c r="X116" s="37"/>
      <c r="Y116" s="37"/>
      <c r="Z116" s="35">
        <v>604</v>
      </c>
      <c r="AA116" s="35" t="s">
        <v>799</v>
      </c>
    </row>
    <row r="117" spans="1:27" x14ac:dyDescent="0.25">
      <c r="A117" s="52" t="str">
        <f t="shared" si="2"/>
        <v>6057-380684</v>
      </c>
      <c r="B117" s="53" t="str">
        <f t="shared" si="3"/>
        <v>SERIE: 56E20603- POS CONTACTLESS CHIP -  VAUCHER N° 0000573 -  OP: 380684</v>
      </c>
      <c r="C117" s="37" t="s">
        <v>1108</v>
      </c>
      <c r="D117" s="37" t="s">
        <v>26</v>
      </c>
      <c r="E117" s="37" t="s">
        <v>27</v>
      </c>
      <c r="F117" s="37" t="s">
        <v>28</v>
      </c>
      <c r="G117" s="37" t="s">
        <v>136</v>
      </c>
      <c r="H117" s="37" t="s">
        <v>1131</v>
      </c>
      <c r="I117" s="37" t="s">
        <v>136</v>
      </c>
      <c r="J117" s="37" t="s">
        <v>136</v>
      </c>
      <c r="K117" s="37" t="s">
        <v>150</v>
      </c>
      <c r="L117" s="37" t="s">
        <v>32</v>
      </c>
      <c r="M117" s="38">
        <v>107</v>
      </c>
      <c r="N117" s="38">
        <v>4.2300000000000004</v>
      </c>
      <c r="O117" s="38">
        <v>0.76</v>
      </c>
      <c r="P117" s="38">
        <v>102.01</v>
      </c>
      <c r="Q117" s="38">
        <v>0</v>
      </c>
      <c r="R117" s="37" t="s">
        <v>1125</v>
      </c>
      <c r="S117" s="37" t="s">
        <v>771</v>
      </c>
      <c r="T117" s="37" t="s">
        <v>1132</v>
      </c>
      <c r="U117" s="37" t="s">
        <v>36</v>
      </c>
      <c r="V117" s="37" t="s">
        <v>156</v>
      </c>
      <c r="W117" s="37">
        <v>380684</v>
      </c>
      <c r="X117" s="37"/>
      <c r="Y117" s="37"/>
      <c r="Z117" s="35">
        <v>604</v>
      </c>
      <c r="AA117" s="35" t="s">
        <v>1112</v>
      </c>
    </row>
    <row r="118" spans="1:27" x14ac:dyDescent="0.25">
      <c r="A118" s="52" t="str">
        <f t="shared" si="2"/>
        <v>6057-149418</v>
      </c>
      <c r="B118" s="53" t="str">
        <f t="shared" si="3"/>
        <v>SERIE: MPP002LL3- POS QR -  VAUCHER N° 1029080 -  OP: 149418</v>
      </c>
      <c r="C118" s="37" t="s">
        <v>1108</v>
      </c>
      <c r="D118" s="37" t="s">
        <v>26</v>
      </c>
      <c r="E118" s="37" t="s">
        <v>43</v>
      </c>
      <c r="F118" s="37" t="s">
        <v>28</v>
      </c>
      <c r="G118" s="37" t="s">
        <v>150</v>
      </c>
      <c r="H118" s="37" t="s">
        <v>1133</v>
      </c>
      <c r="I118" s="37" t="s">
        <v>150</v>
      </c>
      <c r="J118" s="37" t="s">
        <v>150</v>
      </c>
      <c r="K118" s="37" t="s">
        <v>170</v>
      </c>
      <c r="L118" s="37" t="s">
        <v>32</v>
      </c>
      <c r="M118" s="38">
        <v>18</v>
      </c>
      <c r="N118" s="38">
        <v>0.53</v>
      </c>
      <c r="O118" s="38">
        <v>0.1</v>
      </c>
      <c r="P118" s="38">
        <v>17.37</v>
      </c>
      <c r="Q118" s="38">
        <v>17.37</v>
      </c>
      <c r="R118" s="37" t="s">
        <v>1134</v>
      </c>
      <c r="S118" s="37" t="s">
        <v>798</v>
      </c>
      <c r="T118" s="37">
        <v>1029080</v>
      </c>
      <c r="U118" s="37" t="s">
        <v>36</v>
      </c>
      <c r="V118" s="37" t="s">
        <v>289</v>
      </c>
      <c r="W118" s="37">
        <v>149418</v>
      </c>
      <c r="X118" s="37"/>
      <c r="Y118" s="37"/>
      <c r="Z118" s="35">
        <v>604</v>
      </c>
      <c r="AA118" s="35" t="s">
        <v>799</v>
      </c>
    </row>
    <row r="119" spans="1:27" x14ac:dyDescent="0.25">
      <c r="A119" s="52" t="str">
        <f t="shared" si="2"/>
        <v>6057-205389</v>
      </c>
      <c r="B119" s="53" t="str">
        <f t="shared" si="3"/>
        <v>SERIE: MPP002LL3- POS QR -  VAUCHER N° 4039456 -  OP: 205389</v>
      </c>
      <c r="C119" s="37" t="s">
        <v>1108</v>
      </c>
      <c r="D119" s="37" t="s">
        <v>26</v>
      </c>
      <c r="E119" s="37" t="s">
        <v>43</v>
      </c>
      <c r="F119" s="37" t="s">
        <v>28</v>
      </c>
      <c r="G119" s="37" t="s">
        <v>182</v>
      </c>
      <c r="H119" s="37" t="s">
        <v>1135</v>
      </c>
      <c r="I119" s="37" t="s">
        <v>182</v>
      </c>
      <c r="J119" s="37" t="s">
        <v>182</v>
      </c>
      <c r="K119" s="37" t="s">
        <v>196</v>
      </c>
      <c r="L119" s="37" t="s">
        <v>32</v>
      </c>
      <c r="M119" s="38">
        <v>60</v>
      </c>
      <c r="N119" s="38">
        <v>1.77</v>
      </c>
      <c r="O119" s="38">
        <v>0.32</v>
      </c>
      <c r="P119" s="38">
        <v>57.91</v>
      </c>
      <c r="Q119" s="38">
        <v>57.91</v>
      </c>
      <c r="R119" s="37" t="s">
        <v>1136</v>
      </c>
      <c r="S119" s="37" t="s">
        <v>798</v>
      </c>
      <c r="T119" s="37">
        <v>4039456</v>
      </c>
      <c r="U119" s="37" t="s">
        <v>36</v>
      </c>
      <c r="V119" s="37" t="s">
        <v>289</v>
      </c>
      <c r="W119" s="37">
        <v>205389</v>
      </c>
      <c r="X119" s="37"/>
      <c r="Y119" s="37"/>
      <c r="Z119" s="35">
        <v>604</v>
      </c>
      <c r="AA119" s="35" t="s">
        <v>799</v>
      </c>
    </row>
    <row r="120" spans="1:27" x14ac:dyDescent="0.25">
      <c r="A120" s="52" t="str">
        <f t="shared" si="2"/>
        <v>6057-011578</v>
      </c>
      <c r="B120" s="53" t="str">
        <f t="shared" si="3"/>
        <v>SERIE: MPP002LL3- POS QR -  VAUCHER N° 8051683 -  OP: 011578</v>
      </c>
      <c r="C120" s="37" t="s">
        <v>1108</v>
      </c>
      <c r="D120" s="37" t="s">
        <v>26</v>
      </c>
      <c r="E120" s="37" t="s">
        <v>43</v>
      </c>
      <c r="F120" s="37" t="s">
        <v>28</v>
      </c>
      <c r="G120" s="37" t="s">
        <v>337</v>
      </c>
      <c r="H120" s="37" t="s">
        <v>1137</v>
      </c>
      <c r="I120" s="37" t="s">
        <v>337</v>
      </c>
      <c r="J120" s="37" t="s">
        <v>337</v>
      </c>
      <c r="K120" s="37" t="s">
        <v>368</v>
      </c>
      <c r="L120" s="37" t="s">
        <v>32</v>
      </c>
      <c r="M120" s="38">
        <v>30</v>
      </c>
      <c r="N120" s="38">
        <v>0.89</v>
      </c>
      <c r="O120" s="38">
        <v>0.16</v>
      </c>
      <c r="P120" s="38">
        <v>28.95</v>
      </c>
      <c r="Q120" s="38">
        <v>379.79</v>
      </c>
      <c r="R120" s="37" t="s">
        <v>1138</v>
      </c>
      <c r="S120" s="37" t="s">
        <v>798</v>
      </c>
      <c r="T120" s="37">
        <v>8051683</v>
      </c>
      <c r="U120" s="37" t="s">
        <v>36</v>
      </c>
      <c r="V120" s="37" t="s">
        <v>372</v>
      </c>
      <c r="W120" s="37" t="s">
        <v>1139</v>
      </c>
      <c r="X120" s="37"/>
      <c r="Y120" s="37"/>
      <c r="Z120" s="35">
        <v>604</v>
      </c>
      <c r="AA120" s="35" t="s">
        <v>799</v>
      </c>
    </row>
    <row r="121" spans="1:27" x14ac:dyDescent="0.25">
      <c r="A121" s="52" t="str">
        <f t="shared" si="2"/>
        <v>6057-R03739</v>
      </c>
      <c r="B121" s="53" t="str">
        <f t="shared" si="3"/>
        <v>SERIE: 56E20603- POS CHIP EMV -  VAUCHER N° 0000599 -  OP: R03739</v>
      </c>
      <c r="C121" s="37" t="s">
        <v>1108</v>
      </c>
      <c r="D121" s="37" t="s">
        <v>26</v>
      </c>
      <c r="E121" s="37" t="s">
        <v>551</v>
      </c>
      <c r="F121" s="37" t="s">
        <v>28</v>
      </c>
      <c r="G121" s="37" t="s">
        <v>337</v>
      </c>
      <c r="H121" s="37" t="s">
        <v>1140</v>
      </c>
      <c r="I121" s="37" t="s">
        <v>337</v>
      </c>
      <c r="J121" s="37" t="s">
        <v>337</v>
      </c>
      <c r="K121" s="37" t="s">
        <v>368</v>
      </c>
      <c r="L121" s="37" t="s">
        <v>32</v>
      </c>
      <c r="M121" s="38">
        <v>368</v>
      </c>
      <c r="N121" s="38">
        <v>14.54</v>
      </c>
      <c r="O121" s="38">
        <v>2.62</v>
      </c>
      <c r="P121" s="38">
        <v>350.84</v>
      </c>
      <c r="Q121" s="38">
        <v>0</v>
      </c>
      <c r="R121" s="37" t="s">
        <v>1138</v>
      </c>
      <c r="S121" s="37" t="s">
        <v>771</v>
      </c>
      <c r="T121" s="37" t="s">
        <v>1141</v>
      </c>
      <c r="U121" s="37" t="s">
        <v>63</v>
      </c>
      <c r="V121" s="37" t="s">
        <v>1142</v>
      </c>
      <c r="W121" s="37" t="s">
        <v>1143</v>
      </c>
      <c r="X121" s="37"/>
      <c r="Y121" s="37"/>
      <c r="Z121" s="35">
        <v>604</v>
      </c>
      <c r="AA121" s="35" t="s">
        <v>1112</v>
      </c>
    </row>
    <row r="122" spans="1:27" x14ac:dyDescent="0.25">
      <c r="A122" s="52" t="str">
        <f t="shared" si="2"/>
        <v>6057-096391</v>
      </c>
      <c r="B122" s="53" t="str">
        <f t="shared" si="3"/>
        <v>SERIE: MPP002LL3- POS QR -  VAUCHER N° 2000561 -  OP: 096391</v>
      </c>
      <c r="C122" s="37" t="s">
        <v>1108</v>
      </c>
      <c r="D122" s="37" t="s">
        <v>26</v>
      </c>
      <c r="E122" s="37" t="s">
        <v>43</v>
      </c>
      <c r="F122" s="37" t="s">
        <v>28</v>
      </c>
      <c r="G122" s="37" t="s">
        <v>368</v>
      </c>
      <c r="H122" s="37" t="s">
        <v>1144</v>
      </c>
      <c r="I122" s="37" t="s">
        <v>389</v>
      </c>
      <c r="J122" s="37" t="s">
        <v>368</v>
      </c>
      <c r="K122" s="37" t="s">
        <v>389</v>
      </c>
      <c r="L122" s="37" t="s">
        <v>32</v>
      </c>
      <c r="M122" s="38">
        <v>44</v>
      </c>
      <c r="N122" s="38">
        <v>1.3</v>
      </c>
      <c r="O122" s="38">
        <v>0.23</v>
      </c>
      <c r="P122" s="38">
        <v>42.47</v>
      </c>
      <c r="Q122" s="38">
        <v>88.79</v>
      </c>
      <c r="R122" s="37" t="s">
        <v>1145</v>
      </c>
      <c r="S122" s="37" t="s">
        <v>798</v>
      </c>
      <c r="T122" s="37">
        <v>2000561</v>
      </c>
      <c r="U122" s="37" t="s">
        <v>36</v>
      </c>
      <c r="V122" s="37" t="s">
        <v>406</v>
      </c>
      <c r="W122" s="37" t="s">
        <v>1146</v>
      </c>
      <c r="X122" s="37"/>
      <c r="Y122" s="37"/>
      <c r="Z122" s="35">
        <v>604</v>
      </c>
      <c r="AA122" s="35" t="s">
        <v>799</v>
      </c>
    </row>
    <row r="123" spans="1:27" x14ac:dyDescent="0.25">
      <c r="A123" s="52" t="str">
        <f t="shared" si="2"/>
        <v>6057-368890</v>
      </c>
      <c r="B123" s="53" t="str">
        <f t="shared" si="3"/>
        <v>SERIE: MPP002LL3- POS QR -  VAUCHER N° 5015239 -  OP: 368890</v>
      </c>
      <c r="C123" s="37" t="s">
        <v>1108</v>
      </c>
      <c r="D123" s="37" t="s">
        <v>26</v>
      </c>
      <c r="E123" s="37" t="s">
        <v>43</v>
      </c>
      <c r="F123" s="37" t="s">
        <v>28</v>
      </c>
      <c r="G123" s="37" t="s">
        <v>368</v>
      </c>
      <c r="H123" s="37" t="s">
        <v>1147</v>
      </c>
      <c r="I123" s="37" t="s">
        <v>389</v>
      </c>
      <c r="J123" s="37" t="s">
        <v>368</v>
      </c>
      <c r="K123" s="37" t="s">
        <v>389</v>
      </c>
      <c r="L123" s="37" t="s">
        <v>32</v>
      </c>
      <c r="M123" s="38">
        <v>48</v>
      </c>
      <c r="N123" s="38">
        <v>1.42</v>
      </c>
      <c r="O123" s="38">
        <v>0.26</v>
      </c>
      <c r="P123" s="38">
        <v>46.32</v>
      </c>
      <c r="Q123" s="38">
        <v>0</v>
      </c>
      <c r="R123" s="37" t="s">
        <v>1145</v>
      </c>
      <c r="S123" s="37" t="s">
        <v>798</v>
      </c>
      <c r="T123" s="37">
        <v>5015239</v>
      </c>
      <c r="U123" s="37" t="s">
        <v>36</v>
      </c>
      <c r="V123" s="37" t="s">
        <v>1148</v>
      </c>
      <c r="W123" s="37">
        <v>368890</v>
      </c>
      <c r="X123" s="37"/>
      <c r="Y123" s="37"/>
      <c r="Z123" s="35">
        <v>604</v>
      </c>
      <c r="AA123" s="35" t="s">
        <v>799</v>
      </c>
    </row>
    <row r="124" spans="1:27" x14ac:dyDescent="0.25">
      <c r="A124" s="52" t="str">
        <f t="shared" si="2"/>
        <v>6057-060287</v>
      </c>
      <c r="B124" s="53" t="str">
        <f t="shared" si="3"/>
        <v>SERIE: MPP002LL3- POS QR -  VAUCHER N° 2043116 -  OP: 060287</v>
      </c>
      <c r="C124" s="37" t="s">
        <v>1108</v>
      </c>
      <c r="D124" s="37" t="s">
        <v>26</v>
      </c>
      <c r="E124" s="37" t="s">
        <v>43</v>
      </c>
      <c r="F124" s="37" t="s">
        <v>28</v>
      </c>
      <c r="G124" s="37" t="s">
        <v>408</v>
      </c>
      <c r="H124" s="37" t="s">
        <v>1149</v>
      </c>
      <c r="I124" s="37" t="s">
        <v>408</v>
      </c>
      <c r="J124" s="37" t="s">
        <v>408</v>
      </c>
      <c r="K124" s="37" t="s">
        <v>412</v>
      </c>
      <c r="L124" s="37" t="s">
        <v>32</v>
      </c>
      <c r="M124" s="38">
        <v>142</v>
      </c>
      <c r="N124" s="38">
        <v>4.1900000000000004</v>
      </c>
      <c r="O124" s="38">
        <v>0.75</v>
      </c>
      <c r="P124" s="38">
        <v>137.06</v>
      </c>
      <c r="Q124" s="38">
        <v>137.06</v>
      </c>
      <c r="R124" s="37" t="s">
        <v>1150</v>
      </c>
      <c r="S124" s="37" t="s">
        <v>798</v>
      </c>
      <c r="T124" s="37">
        <v>2043116</v>
      </c>
      <c r="U124" s="37" t="s">
        <v>36</v>
      </c>
      <c r="V124" s="37" t="s">
        <v>420</v>
      </c>
      <c r="W124" s="37" t="s">
        <v>1151</v>
      </c>
      <c r="X124" s="37"/>
      <c r="Y124" s="37"/>
      <c r="Z124" s="35">
        <v>604</v>
      </c>
      <c r="AA124" s="35" t="s">
        <v>799</v>
      </c>
    </row>
    <row r="125" spans="1:27" x14ac:dyDescent="0.25">
      <c r="A125" s="52" t="str">
        <f t="shared" si="2"/>
        <v>DIGO-CODIGO DE AUTORIZACION</v>
      </c>
      <c r="B125" s="53" t="str">
        <f t="shared" si="3"/>
        <v>SERIE: SERIE TERMINAL- TIPO DE CAPTURA -  VAUCHER N° NUM DE REF (VOUCHER) -  OP: CODIGO DE AUTORIZACION</v>
      </c>
      <c r="C125" s="40" t="s">
        <v>0</v>
      </c>
      <c r="D125" s="40" t="s">
        <v>1</v>
      </c>
      <c r="E125" s="40" t="s">
        <v>2</v>
      </c>
      <c r="F125" s="40" t="s">
        <v>3</v>
      </c>
      <c r="G125" s="40" t="s">
        <v>4</v>
      </c>
      <c r="H125" s="40" t="s">
        <v>5</v>
      </c>
      <c r="I125" s="40" t="s">
        <v>6</v>
      </c>
      <c r="J125" s="40" t="s">
        <v>7</v>
      </c>
      <c r="K125" s="40" t="s">
        <v>8</v>
      </c>
      <c r="L125" s="40" t="s">
        <v>9</v>
      </c>
      <c r="M125" s="40" t="s">
        <v>10</v>
      </c>
      <c r="N125" s="40" t="s">
        <v>11</v>
      </c>
      <c r="O125" s="40" t="s">
        <v>12</v>
      </c>
      <c r="P125" s="40" t="s">
        <v>13</v>
      </c>
      <c r="Q125" s="40" t="s">
        <v>14</v>
      </c>
      <c r="R125" s="40" t="s">
        <v>15</v>
      </c>
      <c r="S125" s="40" t="s">
        <v>16</v>
      </c>
      <c r="T125" s="40" t="s">
        <v>17</v>
      </c>
      <c r="U125" s="40" t="s">
        <v>18</v>
      </c>
      <c r="V125" s="40" t="s">
        <v>19</v>
      </c>
      <c r="W125" s="40" t="s">
        <v>20</v>
      </c>
      <c r="X125" s="40" t="s">
        <v>21</v>
      </c>
      <c r="Y125" s="40" t="s">
        <v>22</v>
      </c>
      <c r="Z125" s="40" t="s">
        <v>23</v>
      </c>
      <c r="AA125" s="40" t="s">
        <v>24</v>
      </c>
    </row>
    <row r="126" spans="1:27" x14ac:dyDescent="0.25">
      <c r="A126" s="52" t="str">
        <f t="shared" si="2"/>
        <v>5658-494041</v>
      </c>
      <c r="B126" s="53" t="str">
        <f t="shared" si="3"/>
        <v>SERIE: MPP002LL3- POS QR -  VAUCHER N° 2016445 -  OP: 494041</v>
      </c>
      <c r="C126" s="41" t="s">
        <v>1152</v>
      </c>
      <c r="D126" s="41" t="s">
        <v>26</v>
      </c>
      <c r="E126" s="41" t="s">
        <v>43</v>
      </c>
      <c r="F126" s="41" t="s">
        <v>28</v>
      </c>
      <c r="G126" s="41" t="s">
        <v>29</v>
      </c>
      <c r="H126" s="41" t="s">
        <v>1153</v>
      </c>
      <c r="I126" s="41" t="s">
        <v>29</v>
      </c>
      <c r="J126" s="41" t="s">
        <v>29</v>
      </c>
      <c r="K126" s="41" t="s">
        <v>31</v>
      </c>
      <c r="L126" s="41" t="s">
        <v>32</v>
      </c>
      <c r="M126" s="42">
        <v>25</v>
      </c>
      <c r="N126" s="42">
        <v>0.74</v>
      </c>
      <c r="O126" s="42">
        <v>0.13</v>
      </c>
      <c r="P126" s="42">
        <v>24.13</v>
      </c>
      <c r="Q126" s="42">
        <v>24.13</v>
      </c>
      <c r="R126" s="41" t="s">
        <v>1154</v>
      </c>
      <c r="S126" s="41" t="s">
        <v>798</v>
      </c>
      <c r="T126" s="41">
        <v>2016445</v>
      </c>
      <c r="U126" s="41" t="s">
        <v>36</v>
      </c>
      <c r="V126" s="41" t="s">
        <v>435</v>
      </c>
      <c r="W126" s="41">
        <v>494041</v>
      </c>
      <c r="X126" s="41"/>
      <c r="Y126" s="41"/>
      <c r="Z126" s="39">
        <v>604</v>
      </c>
      <c r="AA126" s="39" t="s">
        <v>799</v>
      </c>
    </row>
    <row r="127" spans="1:27" x14ac:dyDescent="0.25">
      <c r="A127" s="52" t="str">
        <f t="shared" si="2"/>
        <v>5658-198588</v>
      </c>
      <c r="B127" s="53" t="str">
        <f t="shared" si="3"/>
        <v>SERIE: CD818353- POS CONTACTLESS CHIP -  VAUCHER N° 0000598 -  OP: 198588</v>
      </c>
      <c r="C127" s="41" t="s">
        <v>1152</v>
      </c>
      <c r="D127" s="41" t="s">
        <v>26</v>
      </c>
      <c r="E127" s="41" t="s">
        <v>27</v>
      </c>
      <c r="F127" s="41" t="s">
        <v>28</v>
      </c>
      <c r="G127" s="41" t="s">
        <v>31</v>
      </c>
      <c r="H127" s="41" t="s">
        <v>1155</v>
      </c>
      <c r="I127" s="41" t="s">
        <v>31</v>
      </c>
      <c r="J127" s="41" t="s">
        <v>31</v>
      </c>
      <c r="K127" s="41" t="s">
        <v>50</v>
      </c>
      <c r="L127" s="41" t="s">
        <v>32</v>
      </c>
      <c r="M127" s="42">
        <v>83</v>
      </c>
      <c r="N127" s="42">
        <v>2.4500000000000002</v>
      </c>
      <c r="O127" s="42">
        <v>0.44</v>
      </c>
      <c r="P127" s="42">
        <v>80.11</v>
      </c>
      <c r="Q127" s="42">
        <v>80.11</v>
      </c>
      <c r="R127" s="41" t="s">
        <v>1156</v>
      </c>
      <c r="S127" s="41" t="s">
        <v>771</v>
      </c>
      <c r="T127" s="41" t="s">
        <v>1157</v>
      </c>
      <c r="U127" s="41" t="s">
        <v>36</v>
      </c>
      <c r="V127" s="41" t="s">
        <v>443</v>
      </c>
      <c r="W127" s="41">
        <v>198588</v>
      </c>
      <c r="X127" s="41"/>
      <c r="Y127" s="41"/>
      <c r="Z127" s="39">
        <v>604</v>
      </c>
      <c r="AA127" s="39" t="s">
        <v>1158</v>
      </c>
    </row>
    <row r="128" spans="1:27" x14ac:dyDescent="0.25">
      <c r="A128" s="52" t="str">
        <f t="shared" si="2"/>
        <v>5658-170871</v>
      </c>
      <c r="B128" s="53" t="str">
        <f t="shared" si="3"/>
        <v>SERIE: CD818353- POS CONTACTLESS CHIP -  VAUCHER N° 0000605 -  OP: 170871</v>
      </c>
      <c r="C128" s="41" t="s">
        <v>1152</v>
      </c>
      <c r="D128" s="41" t="s">
        <v>26</v>
      </c>
      <c r="E128" s="41" t="s">
        <v>27</v>
      </c>
      <c r="F128" s="41" t="s">
        <v>28</v>
      </c>
      <c r="G128" s="41" t="s">
        <v>50</v>
      </c>
      <c r="H128" s="41" t="s">
        <v>1159</v>
      </c>
      <c r="I128" s="41" t="s">
        <v>50</v>
      </c>
      <c r="J128" s="41" t="s">
        <v>50</v>
      </c>
      <c r="K128" s="41" t="s">
        <v>71</v>
      </c>
      <c r="L128" s="41" t="s">
        <v>32</v>
      </c>
      <c r="M128" s="42">
        <v>84</v>
      </c>
      <c r="N128" s="42">
        <v>2.48</v>
      </c>
      <c r="O128" s="42">
        <v>0.45</v>
      </c>
      <c r="P128" s="42">
        <v>81.069999999999993</v>
      </c>
      <c r="Q128" s="42">
        <v>156.36000000000001</v>
      </c>
      <c r="R128" s="41" t="s">
        <v>1160</v>
      </c>
      <c r="S128" s="41" t="s">
        <v>771</v>
      </c>
      <c r="T128" s="41" t="s">
        <v>624</v>
      </c>
      <c r="U128" s="41" t="s">
        <v>36</v>
      </c>
      <c r="V128" s="41" t="s">
        <v>458</v>
      </c>
      <c r="W128" s="41">
        <v>170871</v>
      </c>
      <c r="X128" s="41"/>
      <c r="Y128" s="41"/>
      <c r="Z128" s="39">
        <v>604</v>
      </c>
      <c r="AA128" s="39" t="s">
        <v>1158</v>
      </c>
    </row>
    <row r="129" spans="1:27" x14ac:dyDescent="0.25">
      <c r="A129" s="52" t="str">
        <f t="shared" si="2"/>
        <v>5658-003956</v>
      </c>
      <c r="B129" s="53" t="str">
        <f t="shared" si="3"/>
        <v>SERIE: CD818353- POS CONTACTLESS CHIP -  VAUCHER N° 0000603 -  OP: 003956</v>
      </c>
      <c r="C129" s="41" t="s">
        <v>1152</v>
      </c>
      <c r="D129" s="41" t="s">
        <v>26</v>
      </c>
      <c r="E129" s="41" t="s">
        <v>27</v>
      </c>
      <c r="F129" s="41" t="s">
        <v>28</v>
      </c>
      <c r="G129" s="41" t="s">
        <v>50</v>
      </c>
      <c r="H129" s="41" t="s">
        <v>1161</v>
      </c>
      <c r="I129" s="41" t="s">
        <v>50</v>
      </c>
      <c r="J129" s="41" t="s">
        <v>50</v>
      </c>
      <c r="K129" s="41" t="s">
        <v>71</v>
      </c>
      <c r="L129" s="41" t="s">
        <v>32</v>
      </c>
      <c r="M129" s="42">
        <v>78</v>
      </c>
      <c r="N129" s="42">
        <v>2.2999999999999998</v>
      </c>
      <c r="O129" s="42">
        <v>0.41</v>
      </c>
      <c r="P129" s="42">
        <v>75.290000000000006</v>
      </c>
      <c r="Q129" s="42">
        <v>0</v>
      </c>
      <c r="R129" s="41" t="s">
        <v>1160</v>
      </c>
      <c r="S129" s="41" t="s">
        <v>771</v>
      </c>
      <c r="T129" s="41" t="s">
        <v>1162</v>
      </c>
      <c r="U129" s="41" t="s">
        <v>36</v>
      </c>
      <c r="V129" s="41" t="s">
        <v>458</v>
      </c>
      <c r="W129" s="41" t="s">
        <v>1163</v>
      </c>
      <c r="X129" s="41"/>
      <c r="Y129" s="41"/>
      <c r="Z129" s="39">
        <v>604</v>
      </c>
      <c r="AA129" s="39" t="s">
        <v>1158</v>
      </c>
    </row>
    <row r="130" spans="1:27" x14ac:dyDescent="0.25">
      <c r="A130" s="52" t="str">
        <f t="shared" si="2"/>
        <v>5658-308494</v>
      </c>
      <c r="B130" s="53" t="str">
        <f t="shared" si="3"/>
        <v>SERIE: CD818353- POS CONTACTLESS CHIP -  VAUCHER N° 0000615 -  OP: 308494</v>
      </c>
      <c r="C130" s="41" t="s">
        <v>1152</v>
      </c>
      <c r="D130" s="41" t="s">
        <v>26</v>
      </c>
      <c r="E130" s="41" t="s">
        <v>27</v>
      </c>
      <c r="F130" s="41" t="s">
        <v>28</v>
      </c>
      <c r="G130" s="41" t="s">
        <v>71</v>
      </c>
      <c r="H130" s="41" t="s">
        <v>1164</v>
      </c>
      <c r="I130" s="41" t="s">
        <v>71</v>
      </c>
      <c r="J130" s="41" t="s">
        <v>71</v>
      </c>
      <c r="K130" s="41" t="s">
        <v>92</v>
      </c>
      <c r="L130" s="41" t="s">
        <v>32</v>
      </c>
      <c r="M130" s="42">
        <v>71.55</v>
      </c>
      <c r="N130" s="42">
        <v>2.11</v>
      </c>
      <c r="O130" s="42">
        <v>0.38</v>
      </c>
      <c r="P130" s="42">
        <v>69.06</v>
      </c>
      <c r="Q130" s="42">
        <v>182.33</v>
      </c>
      <c r="R130" s="41" t="s">
        <v>1165</v>
      </c>
      <c r="S130" s="41" t="s">
        <v>771</v>
      </c>
      <c r="T130" s="41" t="s">
        <v>1166</v>
      </c>
      <c r="U130" s="41" t="s">
        <v>36</v>
      </c>
      <c r="V130" s="41" t="s">
        <v>1167</v>
      </c>
      <c r="W130" s="41">
        <v>308494</v>
      </c>
      <c r="X130" s="41"/>
      <c r="Y130" s="41"/>
      <c r="Z130" s="39">
        <v>604</v>
      </c>
      <c r="AA130" s="39" t="s">
        <v>1158</v>
      </c>
    </row>
    <row r="131" spans="1:27" x14ac:dyDescent="0.25">
      <c r="A131" s="52" t="str">
        <f t="shared" ref="A131:A149" si="4">CONCATENATE(RIGHT(C131,4),"-",W131)</f>
        <v>5658-R06481</v>
      </c>
      <c r="B131" s="53" t="str">
        <f t="shared" ref="B131:B149" si="5">CONCATENATE("SERIE: ",AA131, "- ",E131," - "," VAUCHER N° ",T131,  " -  OP: ",W131)</f>
        <v>SERIE: CD818353- POS CHIP EMV -  VAUCHER N° 0000613 -  OP: R06481</v>
      </c>
      <c r="C131" s="41" t="s">
        <v>1152</v>
      </c>
      <c r="D131" s="41" t="s">
        <v>26</v>
      </c>
      <c r="E131" s="41" t="s">
        <v>551</v>
      </c>
      <c r="F131" s="41" t="s">
        <v>28</v>
      </c>
      <c r="G131" s="41" t="s">
        <v>71</v>
      </c>
      <c r="H131" s="41" t="s">
        <v>1168</v>
      </c>
      <c r="I131" s="41" t="s">
        <v>71</v>
      </c>
      <c r="J131" s="41" t="s">
        <v>71</v>
      </c>
      <c r="K131" s="41" t="s">
        <v>92</v>
      </c>
      <c r="L131" s="41" t="s">
        <v>32</v>
      </c>
      <c r="M131" s="42">
        <v>118.8</v>
      </c>
      <c r="N131" s="42">
        <v>4.6900000000000004</v>
      </c>
      <c r="O131" s="42">
        <v>0.84</v>
      </c>
      <c r="P131" s="42">
        <v>113.27</v>
      </c>
      <c r="Q131" s="42">
        <v>0</v>
      </c>
      <c r="R131" s="41" t="s">
        <v>1165</v>
      </c>
      <c r="S131" s="41" t="s">
        <v>771</v>
      </c>
      <c r="T131" s="41" t="s">
        <v>1169</v>
      </c>
      <c r="U131" s="41" t="s">
        <v>63</v>
      </c>
      <c r="V131" s="41" t="s">
        <v>1170</v>
      </c>
      <c r="W131" s="41" t="s">
        <v>1171</v>
      </c>
      <c r="X131" s="41"/>
      <c r="Y131" s="41"/>
      <c r="Z131" s="39">
        <v>604</v>
      </c>
      <c r="AA131" s="39" t="s">
        <v>1158</v>
      </c>
    </row>
    <row r="132" spans="1:27" x14ac:dyDescent="0.25">
      <c r="A132" s="52" t="str">
        <f t="shared" si="4"/>
        <v>5658-627059</v>
      </c>
      <c r="B132" s="53" t="str">
        <f t="shared" si="5"/>
        <v>SERIE: MPP002LL3- POS QR -  VAUCHER N° 2000963 -  OP: 627059</v>
      </c>
      <c r="C132" s="41" t="s">
        <v>1152</v>
      </c>
      <c r="D132" s="41" t="s">
        <v>26</v>
      </c>
      <c r="E132" s="41" t="s">
        <v>43</v>
      </c>
      <c r="F132" s="41" t="s">
        <v>28</v>
      </c>
      <c r="G132" s="41" t="s">
        <v>136</v>
      </c>
      <c r="H132" s="41" t="s">
        <v>1172</v>
      </c>
      <c r="I132" s="41" t="s">
        <v>150</v>
      </c>
      <c r="J132" s="41" t="s">
        <v>136</v>
      </c>
      <c r="K132" s="41" t="s">
        <v>150</v>
      </c>
      <c r="L132" s="41" t="s">
        <v>32</v>
      </c>
      <c r="M132" s="42">
        <v>85</v>
      </c>
      <c r="N132" s="42">
        <v>2.5099999999999998</v>
      </c>
      <c r="O132" s="42">
        <v>0.45</v>
      </c>
      <c r="P132" s="42">
        <v>82.04</v>
      </c>
      <c r="Q132" s="42">
        <v>82.04</v>
      </c>
      <c r="R132" s="41" t="s">
        <v>1173</v>
      </c>
      <c r="S132" s="41" t="s">
        <v>798</v>
      </c>
      <c r="T132" s="41">
        <v>2000963</v>
      </c>
      <c r="U132" s="41" t="s">
        <v>36</v>
      </c>
      <c r="V132" s="41" t="s">
        <v>567</v>
      </c>
      <c r="W132" s="41">
        <v>627059</v>
      </c>
      <c r="X132" s="41"/>
      <c r="Y132" s="41"/>
      <c r="Z132" s="39">
        <v>604</v>
      </c>
      <c r="AA132" s="39" t="s">
        <v>799</v>
      </c>
    </row>
    <row r="133" spans="1:27" x14ac:dyDescent="0.25">
      <c r="A133" s="52" t="str">
        <f t="shared" si="4"/>
        <v>5658-026919</v>
      </c>
      <c r="B133" s="53" t="str">
        <f t="shared" si="5"/>
        <v>SERIE: CD818353- POS CONTACTLESS CHIP -  VAUCHER N° 0000630 -  OP: 026919</v>
      </c>
      <c r="C133" s="41" t="s">
        <v>1152</v>
      </c>
      <c r="D133" s="41" t="s">
        <v>26</v>
      </c>
      <c r="E133" s="41" t="s">
        <v>27</v>
      </c>
      <c r="F133" s="41" t="s">
        <v>28</v>
      </c>
      <c r="G133" s="41" t="s">
        <v>170</v>
      </c>
      <c r="H133" s="41" t="s">
        <v>1174</v>
      </c>
      <c r="I133" s="41" t="s">
        <v>170</v>
      </c>
      <c r="J133" s="41" t="s">
        <v>170</v>
      </c>
      <c r="K133" s="41" t="s">
        <v>182</v>
      </c>
      <c r="L133" s="41" t="s">
        <v>32</v>
      </c>
      <c r="M133" s="42">
        <v>25</v>
      </c>
      <c r="N133" s="42">
        <v>0.74</v>
      </c>
      <c r="O133" s="42">
        <v>0.13</v>
      </c>
      <c r="P133" s="42">
        <v>24.13</v>
      </c>
      <c r="Q133" s="42">
        <v>161.84</v>
      </c>
      <c r="R133" s="41" t="s">
        <v>1175</v>
      </c>
      <c r="S133" s="41" t="s">
        <v>771</v>
      </c>
      <c r="T133" s="41" t="s">
        <v>1176</v>
      </c>
      <c r="U133" s="41" t="s">
        <v>36</v>
      </c>
      <c r="V133" s="41" t="s">
        <v>588</v>
      </c>
      <c r="W133" s="41" t="s">
        <v>1177</v>
      </c>
      <c r="X133" s="41"/>
      <c r="Y133" s="41"/>
      <c r="Z133" s="39">
        <v>604</v>
      </c>
      <c r="AA133" s="39" t="s">
        <v>1158</v>
      </c>
    </row>
    <row r="134" spans="1:27" x14ac:dyDescent="0.25">
      <c r="A134" s="52" t="str">
        <f t="shared" si="4"/>
        <v>5658-057478</v>
      </c>
      <c r="B134" s="53" t="str">
        <f t="shared" si="5"/>
        <v>SERIE: CD818353- POS CONTACTLESS CHIP -  VAUCHER N° 0000628 -  OP: 057478</v>
      </c>
      <c r="C134" s="41" t="s">
        <v>1152</v>
      </c>
      <c r="D134" s="41" t="s">
        <v>26</v>
      </c>
      <c r="E134" s="41" t="s">
        <v>27</v>
      </c>
      <c r="F134" s="41" t="s">
        <v>28</v>
      </c>
      <c r="G134" s="41" t="s">
        <v>170</v>
      </c>
      <c r="H134" s="41" t="s">
        <v>1178</v>
      </c>
      <c r="I134" s="41" t="s">
        <v>170</v>
      </c>
      <c r="J134" s="41" t="s">
        <v>170</v>
      </c>
      <c r="K134" s="41" t="s">
        <v>182</v>
      </c>
      <c r="L134" s="41" t="s">
        <v>32</v>
      </c>
      <c r="M134" s="42">
        <v>144.44999999999999</v>
      </c>
      <c r="N134" s="42">
        <v>5.71</v>
      </c>
      <c r="O134" s="42">
        <v>1.03</v>
      </c>
      <c r="P134" s="42">
        <v>137.71</v>
      </c>
      <c r="Q134" s="42">
        <v>0</v>
      </c>
      <c r="R134" s="41" t="s">
        <v>1175</v>
      </c>
      <c r="S134" s="41" t="s">
        <v>771</v>
      </c>
      <c r="T134" s="41" t="s">
        <v>1179</v>
      </c>
      <c r="U134" s="41" t="s">
        <v>36</v>
      </c>
      <c r="V134" s="41" t="s">
        <v>1180</v>
      </c>
      <c r="W134" s="41" t="s">
        <v>1181</v>
      </c>
      <c r="X134" s="41"/>
      <c r="Y134" s="41"/>
      <c r="Z134" s="39">
        <v>604</v>
      </c>
      <c r="AA134" s="39" t="s">
        <v>1158</v>
      </c>
    </row>
    <row r="135" spans="1:27" x14ac:dyDescent="0.25">
      <c r="A135" s="52" t="str">
        <f t="shared" si="4"/>
        <v>5658-397701</v>
      </c>
      <c r="B135" s="53" t="str">
        <f t="shared" si="5"/>
        <v>SERIE: CD818353- POS CONTACTLESS CHIP -  VAUCHER N° 0000637 -  OP: 397701</v>
      </c>
      <c r="C135" s="41" t="s">
        <v>1152</v>
      </c>
      <c r="D135" s="41" t="s">
        <v>26</v>
      </c>
      <c r="E135" s="41" t="s">
        <v>27</v>
      </c>
      <c r="F135" s="41" t="s">
        <v>28</v>
      </c>
      <c r="G135" s="41" t="s">
        <v>182</v>
      </c>
      <c r="H135" s="41" t="s">
        <v>1182</v>
      </c>
      <c r="I135" s="41" t="s">
        <v>182</v>
      </c>
      <c r="J135" s="41" t="s">
        <v>182</v>
      </c>
      <c r="K135" s="41" t="s">
        <v>196</v>
      </c>
      <c r="L135" s="41" t="s">
        <v>32</v>
      </c>
      <c r="M135" s="42">
        <v>35</v>
      </c>
      <c r="N135" s="42">
        <v>1.03</v>
      </c>
      <c r="O135" s="42">
        <v>0.19</v>
      </c>
      <c r="P135" s="42">
        <v>33.78</v>
      </c>
      <c r="Q135" s="42">
        <v>181.56</v>
      </c>
      <c r="R135" s="41" t="s">
        <v>1183</v>
      </c>
      <c r="S135" s="41" t="s">
        <v>771</v>
      </c>
      <c r="T135" s="41" t="s">
        <v>1184</v>
      </c>
      <c r="U135" s="41" t="s">
        <v>36</v>
      </c>
      <c r="V135" s="41" t="s">
        <v>598</v>
      </c>
      <c r="W135" s="41">
        <v>397701</v>
      </c>
      <c r="X135" s="41"/>
      <c r="Y135" s="41"/>
      <c r="Z135" s="39">
        <v>604</v>
      </c>
      <c r="AA135" s="39" t="s">
        <v>1158</v>
      </c>
    </row>
    <row r="136" spans="1:27" x14ac:dyDescent="0.25">
      <c r="A136" s="52" t="str">
        <f t="shared" si="4"/>
        <v>5658-008070</v>
      </c>
      <c r="B136" s="53" t="str">
        <f t="shared" si="5"/>
        <v>SERIE: CD818353- POS CONTACTLESS CHIP -  VAUCHER N° 0000635 -  OP: 008070</v>
      </c>
      <c r="C136" s="41" t="s">
        <v>1152</v>
      </c>
      <c r="D136" s="41" t="s">
        <v>26</v>
      </c>
      <c r="E136" s="41" t="s">
        <v>27</v>
      </c>
      <c r="F136" s="41" t="s">
        <v>28</v>
      </c>
      <c r="G136" s="41" t="s">
        <v>182</v>
      </c>
      <c r="H136" s="41" t="s">
        <v>1185</v>
      </c>
      <c r="I136" s="41" t="s">
        <v>182</v>
      </c>
      <c r="J136" s="41" t="s">
        <v>182</v>
      </c>
      <c r="K136" s="41" t="s">
        <v>196</v>
      </c>
      <c r="L136" s="41" t="s">
        <v>32</v>
      </c>
      <c r="M136" s="42">
        <v>155</v>
      </c>
      <c r="N136" s="42">
        <v>6.12</v>
      </c>
      <c r="O136" s="42">
        <v>1.1000000000000001</v>
      </c>
      <c r="P136" s="42">
        <v>147.78</v>
      </c>
      <c r="Q136" s="42">
        <v>0</v>
      </c>
      <c r="R136" s="41" t="s">
        <v>1183</v>
      </c>
      <c r="S136" s="41" t="s">
        <v>771</v>
      </c>
      <c r="T136" s="41" t="s">
        <v>1186</v>
      </c>
      <c r="U136" s="41" t="s">
        <v>36</v>
      </c>
      <c r="V136" s="41" t="s">
        <v>1187</v>
      </c>
      <c r="W136" s="41" t="s">
        <v>1188</v>
      </c>
      <c r="X136" s="41"/>
      <c r="Y136" s="41"/>
      <c r="Z136" s="39">
        <v>604</v>
      </c>
      <c r="AA136" s="39" t="s">
        <v>1158</v>
      </c>
    </row>
    <row r="137" spans="1:27" x14ac:dyDescent="0.25">
      <c r="A137" s="52" t="str">
        <f t="shared" si="4"/>
        <v>5658-087040</v>
      </c>
      <c r="B137" s="53" t="str">
        <f t="shared" si="5"/>
        <v>SERIE: MPP002LL3- POS QR -  VAUCHER N° 7002844 -  OP: 087040</v>
      </c>
      <c r="C137" s="41" t="s">
        <v>1152</v>
      </c>
      <c r="D137" s="41" t="s">
        <v>26</v>
      </c>
      <c r="E137" s="41" t="s">
        <v>43</v>
      </c>
      <c r="F137" s="41" t="s">
        <v>28</v>
      </c>
      <c r="G137" s="41" t="s">
        <v>226</v>
      </c>
      <c r="H137" s="41" t="s">
        <v>1189</v>
      </c>
      <c r="I137" s="41" t="s">
        <v>226</v>
      </c>
      <c r="J137" s="41" t="s">
        <v>226</v>
      </c>
      <c r="K137" s="41" t="s">
        <v>246</v>
      </c>
      <c r="L137" s="41" t="s">
        <v>32</v>
      </c>
      <c r="M137" s="42">
        <v>158.4</v>
      </c>
      <c r="N137" s="42">
        <v>4.67</v>
      </c>
      <c r="O137" s="42">
        <v>0.84</v>
      </c>
      <c r="P137" s="42">
        <v>152.88999999999999</v>
      </c>
      <c r="Q137" s="42">
        <v>152.88999999999999</v>
      </c>
      <c r="R137" s="41" t="s">
        <v>1190</v>
      </c>
      <c r="S137" s="41" t="s">
        <v>798</v>
      </c>
      <c r="T137" s="41">
        <v>7002844</v>
      </c>
      <c r="U137" s="41" t="s">
        <v>36</v>
      </c>
      <c r="V137" s="41" t="s">
        <v>643</v>
      </c>
      <c r="W137" s="41" t="s">
        <v>1191</v>
      </c>
      <c r="X137" s="41"/>
      <c r="Y137" s="41"/>
      <c r="Z137" s="39">
        <v>604</v>
      </c>
      <c r="AA137" s="39" t="s">
        <v>799</v>
      </c>
    </row>
    <row r="138" spans="1:27" x14ac:dyDescent="0.25">
      <c r="A138" s="52" t="str">
        <f t="shared" si="4"/>
        <v>5658-947348</v>
      </c>
      <c r="B138" s="53" t="str">
        <f t="shared" si="5"/>
        <v>SERIE: MPP002LL3- POS QR -  VAUCHER N° 9006497 -  OP: 947348</v>
      </c>
      <c r="C138" s="41" t="s">
        <v>1152</v>
      </c>
      <c r="D138" s="41" t="s">
        <v>26</v>
      </c>
      <c r="E138" s="41" t="s">
        <v>43</v>
      </c>
      <c r="F138" s="41" t="s">
        <v>28</v>
      </c>
      <c r="G138" s="41" t="s">
        <v>246</v>
      </c>
      <c r="H138" s="41" t="s">
        <v>1192</v>
      </c>
      <c r="I138" s="41" t="s">
        <v>246</v>
      </c>
      <c r="J138" s="41" t="s">
        <v>246</v>
      </c>
      <c r="K138" s="41" t="s">
        <v>266</v>
      </c>
      <c r="L138" s="41" t="s">
        <v>32</v>
      </c>
      <c r="M138" s="42">
        <v>50</v>
      </c>
      <c r="N138" s="42">
        <v>1.48</v>
      </c>
      <c r="O138" s="42">
        <v>0.27</v>
      </c>
      <c r="P138" s="42">
        <v>48.25</v>
      </c>
      <c r="Q138" s="42">
        <v>48.25</v>
      </c>
      <c r="R138" s="41" t="s">
        <v>1193</v>
      </c>
      <c r="S138" s="41" t="s">
        <v>798</v>
      </c>
      <c r="T138" s="41">
        <v>9006497</v>
      </c>
      <c r="U138" s="41" t="s">
        <v>36</v>
      </c>
      <c r="V138" s="41" t="s">
        <v>656</v>
      </c>
      <c r="W138" s="41">
        <v>947348</v>
      </c>
      <c r="X138" s="41"/>
      <c r="Y138" s="41"/>
      <c r="Z138" s="39">
        <v>604</v>
      </c>
      <c r="AA138" s="39" t="s">
        <v>799</v>
      </c>
    </row>
    <row r="139" spans="1:27" x14ac:dyDescent="0.25">
      <c r="A139" s="52" t="str">
        <f t="shared" si="4"/>
        <v>5658-654954</v>
      </c>
      <c r="B139" s="53" t="str">
        <f t="shared" si="5"/>
        <v>SERIE: CD818353- POS CONTACTLESS CHIP -  VAUCHER N° 0000655 -  OP: 654954</v>
      </c>
      <c r="C139" s="41" t="s">
        <v>1152</v>
      </c>
      <c r="D139" s="41" t="s">
        <v>26</v>
      </c>
      <c r="E139" s="41" t="s">
        <v>27</v>
      </c>
      <c r="F139" s="41" t="s">
        <v>28</v>
      </c>
      <c r="G139" s="41" t="s">
        <v>266</v>
      </c>
      <c r="H139" s="41" t="s">
        <v>1194</v>
      </c>
      <c r="I139" s="41" t="s">
        <v>266</v>
      </c>
      <c r="J139" s="41" t="s">
        <v>266</v>
      </c>
      <c r="K139" s="41" t="s">
        <v>281</v>
      </c>
      <c r="L139" s="41" t="s">
        <v>32</v>
      </c>
      <c r="M139" s="42">
        <v>180</v>
      </c>
      <c r="N139" s="42">
        <v>5.31</v>
      </c>
      <c r="O139" s="42">
        <v>0.96</v>
      </c>
      <c r="P139" s="42">
        <v>173.73</v>
      </c>
      <c r="Q139" s="42">
        <v>173.73</v>
      </c>
      <c r="R139" s="41" t="s">
        <v>1195</v>
      </c>
      <c r="S139" s="41" t="s">
        <v>771</v>
      </c>
      <c r="T139" s="41" t="s">
        <v>1196</v>
      </c>
      <c r="U139" s="41" t="s">
        <v>36</v>
      </c>
      <c r="V139" s="41" t="s">
        <v>1197</v>
      </c>
      <c r="W139" s="41">
        <v>654954</v>
      </c>
      <c r="X139" s="41"/>
      <c r="Y139" s="41"/>
      <c r="Z139" s="39">
        <v>604</v>
      </c>
      <c r="AA139" s="39" t="s">
        <v>1158</v>
      </c>
    </row>
    <row r="140" spans="1:27" x14ac:dyDescent="0.25">
      <c r="A140" s="52" t="str">
        <f t="shared" si="4"/>
        <v>5658-356992</v>
      </c>
      <c r="B140" s="53" t="str">
        <f t="shared" si="5"/>
        <v>SERIE: MPP002LL3- POS QR -  VAUCHER N° 2050715 -  OP: 356992</v>
      </c>
      <c r="C140" s="41" t="s">
        <v>1152</v>
      </c>
      <c r="D140" s="41" t="s">
        <v>26</v>
      </c>
      <c r="E140" s="41" t="s">
        <v>43</v>
      </c>
      <c r="F140" s="41" t="s">
        <v>28</v>
      </c>
      <c r="G140" s="41" t="s">
        <v>294</v>
      </c>
      <c r="H140" s="41" t="s">
        <v>1198</v>
      </c>
      <c r="I140" s="41" t="s">
        <v>294</v>
      </c>
      <c r="J140" s="41" t="s">
        <v>294</v>
      </c>
      <c r="K140" s="41" t="s">
        <v>323</v>
      </c>
      <c r="L140" s="41" t="s">
        <v>32</v>
      </c>
      <c r="M140" s="42">
        <v>103</v>
      </c>
      <c r="N140" s="42">
        <v>3.04</v>
      </c>
      <c r="O140" s="42">
        <v>0.55000000000000004</v>
      </c>
      <c r="P140" s="42">
        <v>99.41</v>
      </c>
      <c r="Q140" s="42">
        <v>455.2</v>
      </c>
      <c r="R140" s="41" t="s">
        <v>1199</v>
      </c>
      <c r="S140" s="41" t="s">
        <v>798</v>
      </c>
      <c r="T140" s="41">
        <v>2050715</v>
      </c>
      <c r="U140" s="41" t="s">
        <v>36</v>
      </c>
      <c r="V140" s="41" t="s">
        <v>685</v>
      </c>
      <c r="W140" s="41">
        <v>356992</v>
      </c>
      <c r="X140" s="41"/>
      <c r="Y140" s="41"/>
      <c r="Z140" s="39">
        <v>604</v>
      </c>
      <c r="AA140" s="39" t="s">
        <v>799</v>
      </c>
    </row>
    <row r="141" spans="1:27" x14ac:dyDescent="0.25">
      <c r="A141" s="52" t="str">
        <f t="shared" si="4"/>
        <v>5658-554924</v>
      </c>
      <c r="B141" s="53" t="str">
        <f t="shared" si="5"/>
        <v>SERIE: MPP002LL3- POS QR -  VAUCHER N° 3012219 -  OP: 554924</v>
      </c>
      <c r="C141" s="41" t="s">
        <v>1152</v>
      </c>
      <c r="D141" s="41" t="s">
        <v>26</v>
      </c>
      <c r="E141" s="41" t="s">
        <v>43</v>
      </c>
      <c r="F141" s="41" t="s">
        <v>28</v>
      </c>
      <c r="G141" s="41" t="s">
        <v>294</v>
      </c>
      <c r="H141" s="41" t="s">
        <v>1200</v>
      </c>
      <c r="I141" s="41" t="s">
        <v>294</v>
      </c>
      <c r="J141" s="41" t="s">
        <v>294</v>
      </c>
      <c r="K141" s="41" t="s">
        <v>323</v>
      </c>
      <c r="L141" s="41" t="s">
        <v>32</v>
      </c>
      <c r="M141" s="42">
        <v>368.62</v>
      </c>
      <c r="N141" s="42">
        <v>10.87</v>
      </c>
      <c r="O141" s="42">
        <v>1.96</v>
      </c>
      <c r="P141" s="42">
        <v>355.79</v>
      </c>
      <c r="Q141" s="42">
        <v>0</v>
      </c>
      <c r="R141" s="41" t="s">
        <v>1199</v>
      </c>
      <c r="S141" s="41" t="s">
        <v>798</v>
      </c>
      <c r="T141" s="41">
        <v>3012219</v>
      </c>
      <c r="U141" s="41" t="s">
        <v>36</v>
      </c>
      <c r="V141" s="41" t="s">
        <v>687</v>
      </c>
      <c r="W141" s="41">
        <v>554924</v>
      </c>
      <c r="X141" s="41"/>
      <c r="Y141" s="41"/>
      <c r="Z141" s="39">
        <v>604</v>
      </c>
      <c r="AA141" s="39" t="s">
        <v>799</v>
      </c>
    </row>
    <row r="142" spans="1:27" x14ac:dyDescent="0.25">
      <c r="A142" s="52" t="str">
        <f t="shared" si="4"/>
        <v>5658-633633</v>
      </c>
      <c r="B142" s="53" t="str">
        <f t="shared" si="5"/>
        <v>SERIE: MPP002LL3- POS QR -  VAUCHER N° 2053654 -  OP: 633633</v>
      </c>
      <c r="C142" s="41" t="s">
        <v>1152</v>
      </c>
      <c r="D142" s="41" t="s">
        <v>26</v>
      </c>
      <c r="E142" s="41" t="s">
        <v>43</v>
      </c>
      <c r="F142" s="41" t="s">
        <v>28</v>
      </c>
      <c r="G142" s="41" t="s">
        <v>323</v>
      </c>
      <c r="H142" s="41" t="s">
        <v>1201</v>
      </c>
      <c r="I142" s="41" t="s">
        <v>323</v>
      </c>
      <c r="J142" s="41" t="s">
        <v>323</v>
      </c>
      <c r="K142" s="41" t="s">
        <v>337</v>
      </c>
      <c r="L142" s="41" t="s">
        <v>32</v>
      </c>
      <c r="M142" s="42">
        <v>55</v>
      </c>
      <c r="N142" s="42">
        <v>1.62</v>
      </c>
      <c r="O142" s="42">
        <v>0.28999999999999998</v>
      </c>
      <c r="P142" s="42">
        <v>53.09</v>
      </c>
      <c r="Q142" s="42">
        <v>53.09</v>
      </c>
      <c r="R142" s="41" t="s">
        <v>1202</v>
      </c>
      <c r="S142" s="41" t="s">
        <v>798</v>
      </c>
      <c r="T142" s="41">
        <v>2053654</v>
      </c>
      <c r="U142" s="41" t="s">
        <v>36</v>
      </c>
      <c r="V142" s="41" t="s">
        <v>1203</v>
      </c>
      <c r="W142" s="41">
        <v>633633</v>
      </c>
      <c r="X142" s="41"/>
      <c r="Y142" s="41"/>
      <c r="Z142" s="39">
        <v>604</v>
      </c>
      <c r="AA142" s="39" t="s">
        <v>799</v>
      </c>
    </row>
    <row r="143" spans="1:27" x14ac:dyDescent="0.25">
      <c r="A143" s="52" t="str">
        <f t="shared" si="4"/>
        <v>5658-535527</v>
      </c>
      <c r="B143" s="53" t="str">
        <f t="shared" si="5"/>
        <v>SERIE: CD818353- POS CONTACTLESS CHIP -  VAUCHER N° 0000680 -  OP: 535527</v>
      </c>
      <c r="C143" s="41" t="s">
        <v>1152</v>
      </c>
      <c r="D143" s="41" t="s">
        <v>26</v>
      </c>
      <c r="E143" s="41" t="s">
        <v>27</v>
      </c>
      <c r="F143" s="41" t="s">
        <v>28</v>
      </c>
      <c r="G143" s="41" t="s">
        <v>337</v>
      </c>
      <c r="H143" s="41" t="s">
        <v>1204</v>
      </c>
      <c r="I143" s="41" t="s">
        <v>337</v>
      </c>
      <c r="J143" s="41" t="s">
        <v>337</v>
      </c>
      <c r="K143" s="41" t="s">
        <v>368</v>
      </c>
      <c r="L143" s="41" t="s">
        <v>32</v>
      </c>
      <c r="M143" s="42">
        <v>86</v>
      </c>
      <c r="N143" s="42">
        <v>2.54</v>
      </c>
      <c r="O143" s="42">
        <v>0.46</v>
      </c>
      <c r="P143" s="42">
        <v>83</v>
      </c>
      <c r="Q143" s="42">
        <v>107.13</v>
      </c>
      <c r="R143" s="41" t="s">
        <v>1205</v>
      </c>
      <c r="S143" s="41" t="s">
        <v>771</v>
      </c>
      <c r="T143" s="41" t="s">
        <v>1206</v>
      </c>
      <c r="U143" s="41" t="s">
        <v>36</v>
      </c>
      <c r="V143" s="41" t="s">
        <v>699</v>
      </c>
      <c r="W143" s="41">
        <v>535527</v>
      </c>
      <c r="X143" s="41"/>
      <c r="Y143" s="41"/>
      <c r="Z143" s="39">
        <v>604</v>
      </c>
      <c r="AA143" s="39" t="s">
        <v>1158</v>
      </c>
    </row>
    <row r="144" spans="1:27" x14ac:dyDescent="0.25">
      <c r="A144" s="52" t="str">
        <f t="shared" si="4"/>
        <v>5658-649874</v>
      </c>
      <c r="B144" s="53" t="str">
        <f t="shared" si="5"/>
        <v>SERIE: CD818353- POS CONTACTLESS CHIP -  VAUCHER N° 0000678 -  OP: 649874</v>
      </c>
      <c r="C144" s="41" t="s">
        <v>1152</v>
      </c>
      <c r="D144" s="41" t="s">
        <v>26</v>
      </c>
      <c r="E144" s="41" t="s">
        <v>27</v>
      </c>
      <c r="F144" s="41" t="s">
        <v>28</v>
      </c>
      <c r="G144" s="41" t="s">
        <v>337</v>
      </c>
      <c r="H144" s="41" t="s">
        <v>1207</v>
      </c>
      <c r="I144" s="41" t="s">
        <v>337</v>
      </c>
      <c r="J144" s="41" t="s">
        <v>337</v>
      </c>
      <c r="K144" s="41" t="s">
        <v>368</v>
      </c>
      <c r="L144" s="41" t="s">
        <v>32</v>
      </c>
      <c r="M144" s="42">
        <v>25</v>
      </c>
      <c r="N144" s="42">
        <v>0.74</v>
      </c>
      <c r="O144" s="42">
        <v>0.13</v>
      </c>
      <c r="P144" s="42">
        <v>24.13</v>
      </c>
      <c r="Q144" s="42">
        <v>0</v>
      </c>
      <c r="R144" s="41" t="s">
        <v>1205</v>
      </c>
      <c r="S144" s="41" t="s">
        <v>771</v>
      </c>
      <c r="T144" s="41" t="s">
        <v>1208</v>
      </c>
      <c r="U144" s="41" t="s">
        <v>36</v>
      </c>
      <c r="V144" s="41" t="s">
        <v>704</v>
      </c>
      <c r="W144" s="41">
        <v>649874</v>
      </c>
      <c r="X144" s="41"/>
      <c r="Y144" s="41"/>
      <c r="Z144" s="39">
        <v>604</v>
      </c>
      <c r="AA144" s="39" t="s">
        <v>1158</v>
      </c>
    </row>
    <row r="145" spans="1:27" x14ac:dyDescent="0.25">
      <c r="A145" s="52" t="str">
        <f t="shared" si="4"/>
        <v>5658-200459</v>
      </c>
      <c r="B145" s="53" t="str">
        <f t="shared" si="5"/>
        <v>SERIE: CD818353- POS CONTACTLESS CHIP -  VAUCHER N° 0000685 -  OP: 200459</v>
      </c>
      <c r="C145" s="41" t="s">
        <v>1152</v>
      </c>
      <c r="D145" s="41" t="s">
        <v>26</v>
      </c>
      <c r="E145" s="41" t="s">
        <v>27</v>
      </c>
      <c r="F145" s="41" t="s">
        <v>28</v>
      </c>
      <c r="G145" s="41" t="s">
        <v>368</v>
      </c>
      <c r="H145" s="41" t="s">
        <v>1209</v>
      </c>
      <c r="I145" s="41" t="s">
        <v>368</v>
      </c>
      <c r="J145" s="41" t="s">
        <v>368</v>
      </c>
      <c r="K145" s="41" t="s">
        <v>389</v>
      </c>
      <c r="L145" s="41" t="s">
        <v>32</v>
      </c>
      <c r="M145" s="42">
        <v>35</v>
      </c>
      <c r="N145" s="42">
        <v>1.38</v>
      </c>
      <c r="O145" s="42">
        <v>0.25</v>
      </c>
      <c r="P145" s="42">
        <v>33.369999999999997</v>
      </c>
      <c r="Q145" s="42">
        <v>33.369999999999997</v>
      </c>
      <c r="R145" s="41" t="s">
        <v>1210</v>
      </c>
      <c r="S145" s="41" t="s">
        <v>771</v>
      </c>
      <c r="T145" s="41" t="s">
        <v>1211</v>
      </c>
      <c r="U145" s="41" t="s">
        <v>36</v>
      </c>
      <c r="V145" s="41" t="s">
        <v>735</v>
      </c>
      <c r="W145" s="41">
        <v>200459</v>
      </c>
      <c r="X145" s="41"/>
      <c r="Y145" s="41"/>
      <c r="Z145" s="39">
        <v>604</v>
      </c>
      <c r="AA145" s="39" t="s">
        <v>1158</v>
      </c>
    </row>
    <row r="146" spans="1:27" x14ac:dyDescent="0.25">
      <c r="A146" s="52" t="str">
        <f t="shared" si="4"/>
        <v>5658-285514</v>
      </c>
      <c r="B146" s="53" t="str">
        <f t="shared" si="5"/>
        <v>SERIE: MPP002LL3- POS QR -  VAUCHER N° 1011943 -  OP: 285514</v>
      </c>
      <c r="C146" s="41" t="s">
        <v>1152</v>
      </c>
      <c r="D146" s="41" t="s">
        <v>26</v>
      </c>
      <c r="E146" s="41" t="s">
        <v>43</v>
      </c>
      <c r="F146" s="41" t="s">
        <v>28</v>
      </c>
      <c r="G146" s="41" t="s">
        <v>408</v>
      </c>
      <c r="H146" s="41" t="s">
        <v>1212</v>
      </c>
      <c r="I146" s="41" t="s">
        <v>408</v>
      </c>
      <c r="J146" s="41" t="s">
        <v>408</v>
      </c>
      <c r="K146" s="41" t="s">
        <v>412</v>
      </c>
      <c r="L146" s="41" t="s">
        <v>32</v>
      </c>
      <c r="M146" s="42">
        <v>35</v>
      </c>
      <c r="N146" s="42">
        <v>1.03</v>
      </c>
      <c r="O146" s="42">
        <v>0.19</v>
      </c>
      <c r="P146" s="42">
        <v>33.78</v>
      </c>
      <c r="Q146" s="42">
        <v>72.39</v>
      </c>
      <c r="R146" s="41" t="s">
        <v>1213</v>
      </c>
      <c r="S146" s="41" t="s">
        <v>798</v>
      </c>
      <c r="T146" s="41">
        <v>1011943</v>
      </c>
      <c r="U146" s="41" t="s">
        <v>36</v>
      </c>
      <c r="V146" s="41" t="s">
        <v>1214</v>
      </c>
      <c r="W146" s="41">
        <v>285514</v>
      </c>
      <c r="X146" s="41"/>
      <c r="Y146" s="41"/>
      <c r="Z146" s="39">
        <v>604</v>
      </c>
      <c r="AA146" s="39" t="s">
        <v>799</v>
      </c>
    </row>
    <row r="147" spans="1:27" x14ac:dyDescent="0.25">
      <c r="A147" s="52" t="str">
        <f t="shared" si="4"/>
        <v>5658-795953</v>
      </c>
      <c r="B147" s="53" t="str">
        <f t="shared" si="5"/>
        <v>SERIE: MPP002LL3- POS QR -  VAUCHER N° 4038454 -  OP: 795953</v>
      </c>
      <c r="C147" s="41" t="s">
        <v>1152</v>
      </c>
      <c r="D147" s="41" t="s">
        <v>26</v>
      </c>
      <c r="E147" s="41" t="s">
        <v>43</v>
      </c>
      <c r="F147" s="41" t="s">
        <v>28</v>
      </c>
      <c r="G147" s="41" t="s">
        <v>408</v>
      </c>
      <c r="H147" s="41" t="s">
        <v>1215</v>
      </c>
      <c r="I147" s="41" t="s">
        <v>408</v>
      </c>
      <c r="J147" s="41" t="s">
        <v>408</v>
      </c>
      <c r="K147" s="41" t="s">
        <v>412</v>
      </c>
      <c r="L147" s="41" t="s">
        <v>32</v>
      </c>
      <c r="M147" s="42">
        <v>40</v>
      </c>
      <c r="N147" s="42">
        <v>1.18</v>
      </c>
      <c r="O147" s="42">
        <v>0.21</v>
      </c>
      <c r="P147" s="42">
        <v>38.61</v>
      </c>
      <c r="Q147" s="42">
        <v>0</v>
      </c>
      <c r="R147" s="41" t="s">
        <v>1213</v>
      </c>
      <c r="S147" s="41" t="s">
        <v>798</v>
      </c>
      <c r="T147" s="41">
        <v>4038454</v>
      </c>
      <c r="U147" s="41" t="s">
        <v>36</v>
      </c>
      <c r="V147" s="41" t="s">
        <v>752</v>
      </c>
      <c r="W147" s="41">
        <v>795953</v>
      </c>
      <c r="X147" s="41"/>
      <c r="Y147" s="41"/>
      <c r="Z147" s="39">
        <v>604</v>
      </c>
      <c r="AA147" s="39" t="s">
        <v>799</v>
      </c>
    </row>
    <row r="148" spans="1:27" x14ac:dyDescent="0.25">
      <c r="A148" s="52" t="str">
        <f t="shared" si="4"/>
        <v>DIGO-CODIGO DE AUTORIZACION</v>
      </c>
      <c r="B148" s="53" t="str">
        <f t="shared" si="5"/>
        <v>SERIE: SERIE TERMINAL- TIPO DE CAPTURA -  VAUCHER N° NUM DE REF (VOUCHER) -  OP: CODIGO DE AUTORIZACION</v>
      </c>
      <c r="C148" s="44" t="s">
        <v>0</v>
      </c>
      <c r="D148" s="44" t="s">
        <v>1</v>
      </c>
      <c r="E148" s="44" t="s">
        <v>2</v>
      </c>
      <c r="F148" s="44" t="s">
        <v>3</v>
      </c>
      <c r="G148" s="44" t="s">
        <v>4</v>
      </c>
      <c r="H148" s="44" t="s">
        <v>5</v>
      </c>
      <c r="I148" s="44" t="s">
        <v>6</v>
      </c>
      <c r="J148" s="44" t="s">
        <v>7</v>
      </c>
      <c r="K148" s="44" t="s">
        <v>8</v>
      </c>
      <c r="L148" s="44" t="s">
        <v>9</v>
      </c>
      <c r="M148" s="44" t="s">
        <v>10</v>
      </c>
      <c r="N148" s="44" t="s">
        <v>11</v>
      </c>
      <c r="O148" s="44" t="s">
        <v>12</v>
      </c>
      <c r="P148" s="44" t="s">
        <v>13</v>
      </c>
      <c r="Q148" s="44" t="s">
        <v>14</v>
      </c>
      <c r="R148" s="44" t="s">
        <v>15</v>
      </c>
      <c r="S148" s="44" t="s">
        <v>16</v>
      </c>
      <c r="T148" s="44" t="s">
        <v>17</v>
      </c>
      <c r="U148" s="44" t="s">
        <v>18</v>
      </c>
      <c r="V148" s="44" t="s">
        <v>19</v>
      </c>
      <c r="W148" s="44" t="s">
        <v>20</v>
      </c>
      <c r="X148" s="44" t="s">
        <v>21</v>
      </c>
      <c r="Y148" s="44" t="s">
        <v>22</v>
      </c>
      <c r="Z148" s="44" t="s">
        <v>23</v>
      </c>
      <c r="AA148" s="44" t="s">
        <v>24</v>
      </c>
    </row>
    <row r="149" spans="1:27" x14ac:dyDescent="0.25">
      <c r="A149" s="52" t="str">
        <f t="shared" si="4"/>
        <v>5662-230476</v>
      </c>
      <c r="B149" s="53" t="str">
        <f t="shared" si="5"/>
        <v>SERIE: 57921007- QPS CONTACTLESS CHIP -  VAUCHER N° 0000006 -  OP: 230476</v>
      </c>
      <c r="C149" s="45" t="s">
        <v>1216</v>
      </c>
      <c r="D149" s="45" t="s">
        <v>26</v>
      </c>
      <c r="E149" s="45" t="s">
        <v>1087</v>
      </c>
      <c r="F149" s="45" t="s">
        <v>28</v>
      </c>
      <c r="G149" s="45" t="s">
        <v>92</v>
      </c>
      <c r="H149" s="45" t="s">
        <v>1217</v>
      </c>
      <c r="I149" s="45" t="s">
        <v>92</v>
      </c>
      <c r="J149" s="45" t="s">
        <v>92</v>
      </c>
      <c r="K149" s="45" t="s">
        <v>114</v>
      </c>
      <c r="L149" s="45" t="s">
        <v>32</v>
      </c>
      <c r="M149" s="46">
        <v>70</v>
      </c>
      <c r="N149" s="46">
        <v>2.77</v>
      </c>
      <c r="O149" s="46">
        <v>0.5</v>
      </c>
      <c r="P149" s="46">
        <v>66.73</v>
      </c>
      <c r="Q149" s="46">
        <v>66.73</v>
      </c>
      <c r="R149" s="45" t="s">
        <v>1218</v>
      </c>
      <c r="S149" s="45" t="s">
        <v>771</v>
      </c>
      <c r="T149" s="45" t="s">
        <v>1219</v>
      </c>
      <c r="U149" s="45" t="s">
        <v>381</v>
      </c>
      <c r="V149" s="45" t="s">
        <v>1220</v>
      </c>
      <c r="W149" s="45">
        <v>230476</v>
      </c>
      <c r="X149" s="45" t="s">
        <v>832</v>
      </c>
      <c r="Y149" s="45"/>
      <c r="Z149" s="43">
        <v>604</v>
      </c>
      <c r="AA149" s="43">
        <v>57921007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10F13-7A77-45D5-BC98-622C81E19F67}">
  <dimension ref="A1:M290"/>
  <sheetViews>
    <sheetView showGridLines="0" tabSelected="1" workbookViewId="0">
      <pane ySplit="3" topLeftCell="A116" activePane="bottomLeft" state="frozen"/>
      <selection pane="bottomLeft" activeCell="C131" sqref="C130:C131"/>
    </sheetView>
  </sheetViews>
  <sheetFormatPr baseColWidth="10" defaultRowHeight="15" x14ac:dyDescent="0.25"/>
  <cols>
    <col min="1" max="1" width="8.85546875" bestFit="1" customWidth="1"/>
    <col min="2" max="2" width="10.42578125" customWidth="1"/>
    <col min="3" max="3" width="57.85546875" customWidth="1"/>
    <col min="4" max="4" width="11.5703125" customWidth="1"/>
    <col min="5" max="5" width="10" customWidth="1"/>
    <col min="6" max="6" width="10" bestFit="1" customWidth="1"/>
    <col min="7" max="7" width="11.85546875" bestFit="1" customWidth="1"/>
    <col min="8" max="8" width="8.85546875" bestFit="1" customWidth="1"/>
    <col min="9" max="9" width="10.85546875" bestFit="1" customWidth="1"/>
    <col min="10" max="10" width="10.42578125" bestFit="1" customWidth="1"/>
    <col min="11" max="11" width="15.140625" bestFit="1" customWidth="1"/>
    <col min="12" max="12" width="87" bestFit="1" customWidth="1"/>
    <col min="13" max="13" width="14.140625" customWidth="1"/>
  </cols>
  <sheetData>
    <row r="1" spans="1:13" x14ac:dyDescent="0.25">
      <c r="A1" s="9" t="s">
        <v>1222</v>
      </c>
    </row>
    <row r="2" spans="1:13" x14ac:dyDescent="0.25">
      <c r="A2" s="9" t="s">
        <v>766</v>
      </c>
    </row>
    <row r="3" spans="1:13" x14ac:dyDescent="0.25">
      <c r="A3" s="10" t="s">
        <v>753</v>
      </c>
      <c r="B3" s="10" t="s">
        <v>754</v>
      </c>
      <c r="C3" s="10" t="s">
        <v>755</v>
      </c>
      <c r="D3" s="10" t="s">
        <v>756</v>
      </c>
      <c r="E3" s="10" t="s">
        <v>757</v>
      </c>
      <c r="F3" s="10" t="s">
        <v>758</v>
      </c>
      <c r="G3" s="10" t="s">
        <v>759</v>
      </c>
      <c r="H3" s="10" t="s">
        <v>760</v>
      </c>
      <c r="I3" s="10" t="s">
        <v>761</v>
      </c>
      <c r="J3" s="10" t="s">
        <v>762</v>
      </c>
      <c r="K3" s="10" t="s">
        <v>763</v>
      </c>
      <c r="L3" s="10" t="s">
        <v>764</v>
      </c>
      <c r="M3" s="10" t="s">
        <v>765</v>
      </c>
    </row>
    <row r="4" spans="1:13" x14ac:dyDescent="0.25">
      <c r="B4" s="48" t="str">
        <f>+BOTICA!G2</f>
        <v>05/01/2026</v>
      </c>
      <c r="C4" s="49" t="str">
        <f>+BOTICA!B2</f>
        <v>SERIE: 46R20726- POS CONTACTLESS CHIP -  VAUCHER N° 0000113 -  OP: 682092</v>
      </c>
      <c r="D4" s="50">
        <f>+BOTICA!M2</f>
        <v>1170</v>
      </c>
      <c r="E4" s="11"/>
      <c r="F4" s="49" t="str">
        <f>+BOTICA!C2</f>
        <v>008876416</v>
      </c>
      <c r="G4" s="51" t="str">
        <f>+BOTICA!A2</f>
        <v>6416-682092</v>
      </c>
      <c r="H4" s="49" t="str">
        <f>+BOTICA!H2</f>
        <v>17:15:17</v>
      </c>
      <c r="I4" s="49" t="str">
        <f>+BOTICA!R2</f>
        <v>0026</v>
      </c>
      <c r="J4" s="11"/>
      <c r="K4" s="49" t="str">
        <f>CONCATENATE(,G4)</f>
        <v>6416-682092</v>
      </c>
      <c r="L4" s="49" t="str">
        <f>CONCATENATE(K4," -",C4)</f>
        <v>6416-682092 -SERIE: 46R20726- POS CONTACTLESS CHIP -  VAUCHER N° 0000113 -  OP: 682092</v>
      </c>
      <c r="M4" s="5"/>
    </row>
    <row r="5" spans="1:13" x14ac:dyDescent="0.25">
      <c r="B5" s="48" t="str">
        <f>+BOTICA!G3</f>
        <v>06/01/2026</v>
      </c>
      <c r="C5" s="49" t="str">
        <f>+BOTICA!B3</f>
        <v>SERIE: MPP002LB3- POS QR -  VAUCHER N° 4019888 -  OP: 201370</v>
      </c>
      <c r="D5" s="50">
        <f>+BOTICA!M3</f>
        <v>51.3</v>
      </c>
      <c r="E5" s="11"/>
      <c r="F5" s="49" t="str">
        <f>+BOTICA!C3</f>
        <v>008876416</v>
      </c>
      <c r="G5" s="51" t="str">
        <f>+BOTICA!A3</f>
        <v>6416-201370</v>
      </c>
      <c r="H5" s="49" t="str">
        <f>+BOTICA!H3</f>
        <v>14:29:08</v>
      </c>
      <c r="I5" s="49" t="str">
        <f>+BOTICA!R3</f>
        <v>0027</v>
      </c>
      <c r="J5" s="11"/>
      <c r="K5" s="49" t="str">
        <f t="shared" ref="K5:K68" si="0">CONCATENATE(,G5)</f>
        <v>6416-201370</v>
      </c>
      <c r="L5" s="49" t="str">
        <f t="shared" ref="L5:L68" si="1">CONCATENATE(K5," -",C5)</f>
        <v>6416-201370 -SERIE: MPP002LB3- POS QR -  VAUCHER N° 4019888 -  OP: 201370</v>
      </c>
      <c r="M5" s="5"/>
    </row>
    <row r="6" spans="1:13" x14ac:dyDescent="0.25">
      <c r="B6" s="48" t="str">
        <f>+BOTICA!G4</f>
        <v>07/01/2026</v>
      </c>
      <c r="C6" s="49" t="str">
        <f>+BOTICA!B4</f>
        <v>SERIE: MPP002LB3- POS QR -  VAUCHER N° 5014983 -  OP: 746820</v>
      </c>
      <c r="D6" s="50">
        <f>+BOTICA!M4</f>
        <v>140</v>
      </c>
      <c r="E6" s="11"/>
      <c r="F6" s="49" t="str">
        <f>+BOTICA!C4</f>
        <v>008876416</v>
      </c>
      <c r="G6" s="51" t="str">
        <f>+BOTICA!A4</f>
        <v>6416-746820</v>
      </c>
      <c r="H6" s="49" t="str">
        <f>+BOTICA!H4</f>
        <v>15:25:22</v>
      </c>
      <c r="I6" s="49" t="str">
        <f>+BOTICA!R4</f>
        <v>0028</v>
      </c>
      <c r="J6" s="11"/>
      <c r="K6" s="49" t="str">
        <f t="shared" si="0"/>
        <v>6416-746820</v>
      </c>
      <c r="L6" s="49" t="str">
        <f t="shared" si="1"/>
        <v>6416-746820 -SERIE: MPP002LB3- POS QR -  VAUCHER N° 5014983 -  OP: 746820</v>
      </c>
      <c r="M6" s="5"/>
    </row>
    <row r="7" spans="1:13" x14ac:dyDescent="0.25">
      <c r="B7" s="48" t="str">
        <f>+BOTICA!G5</f>
        <v>26/01/2026</v>
      </c>
      <c r="C7" s="49" t="str">
        <f>+BOTICA!B5</f>
        <v>SERIE: 46R20726- POS CONTACTLESS CHIP -  VAUCHER N° 0000129 -  OP: 191620</v>
      </c>
      <c r="D7" s="50">
        <f>+BOTICA!M5</f>
        <v>93.8</v>
      </c>
      <c r="E7" s="11"/>
      <c r="F7" s="49" t="str">
        <f>+BOTICA!C5</f>
        <v>008876416</v>
      </c>
      <c r="G7" s="51" t="str">
        <f>+BOTICA!A5</f>
        <v>6416-191620</v>
      </c>
      <c r="H7" s="49" t="str">
        <f>+BOTICA!H5</f>
        <v>17:18:25</v>
      </c>
      <c r="I7" s="49" t="str">
        <f>+BOTICA!R5</f>
        <v>0029</v>
      </c>
      <c r="J7" s="11"/>
      <c r="K7" s="49" t="str">
        <f t="shared" si="0"/>
        <v>6416-191620</v>
      </c>
      <c r="L7" s="49" t="str">
        <f t="shared" si="1"/>
        <v>6416-191620 -SERIE: 46R20726- POS CONTACTLESS CHIP -  VAUCHER N° 0000129 -  OP: 191620</v>
      </c>
      <c r="M7" s="5"/>
    </row>
    <row r="8" spans="1:13" x14ac:dyDescent="0.25">
      <c r="B8" s="48" t="str">
        <f>+BOTICA!G6</f>
        <v>FECHA DE TRANSACCION</v>
      </c>
      <c r="C8" s="49" t="str">
        <f>+BOTICA!B6</f>
        <v>SERIE: SERIE TERMINAL- TIPO DE CAPTURA -  VAUCHER N° NUM DE REF (VOUCHER) -  OP: CODIGO DE AUTORIZACION</v>
      </c>
      <c r="D8" s="50" t="str">
        <f>+BOTICA!M6</f>
        <v>IMPORTE</v>
      </c>
      <c r="E8" s="11"/>
      <c r="F8" s="49" t="str">
        <f>+BOTICA!C6</f>
        <v>CODIGO</v>
      </c>
      <c r="G8" s="51" t="str">
        <f>+BOTICA!A6</f>
        <v>DIGO-CODIGO DE AUTORIZACION</v>
      </c>
      <c r="H8" s="49" t="str">
        <f>+BOTICA!H6</f>
        <v>HORA DE TRANSACCION</v>
      </c>
      <c r="I8" s="49" t="str">
        <f>+BOTICA!R6</f>
        <v>NUM DE LOTE</v>
      </c>
      <c r="J8" s="11"/>
      <c r="K8" s="49" t="str">
        <f t="shared" si="0"/>
        <v>DIGO-CODIGO DE AUTORIZACION</v>
      </c>
      <c r="L8" s="49" t="str">
        <f t="shared" si="1"/>
        <v>DIGO-CODIGO DE AUTORIZACION -SERIE: SERIE TERMINAL- TIPO DE CAPTURA -  VAUCHER N° NUM DE REF (VOUCHER) -  OP: CODIGO DE AUTORIZACION</v>
      </c>
      <c r="M8" s="5"/>
    </row>
    <row r="9" spans="1:13" x14ac:dyDescent="0.25">
      <c r="B9" s="48" t="str">
        <f>+BOTICA!G7</f>
        <v>06/01/2026</v>
      </c>
      <c r="C9" s="49" t="str">
        <f>+BOTICA!B7</f>
        <v>SERIE: FD894553- POS CONTACTLESS CHIP -  VAUCHER N° 0000084 -  OP: 334072</v>
      </c>
      <c r="D9" s="50">
        <f>+BOTICA!M7</f>
        <v>15</v>
      </c>
      <c r="E9" s="11"/>
      <c r="F9" s="49" t="str">
        <f>+BOTICA!C7</f>
        <v>008474519</v>
      </c>
      <c r="G9" s="51" t="str">
        <f>+BOTICA!A7</f>
        <v>4519-334072</v>
      </c>
      <c r="H9" s="49" t="str">
        <f>+BOTICA!H7</f>
        <v>15:03:47</v>
      </c>
      <c r="I9" s="49" t="str">
        <f>+BOTICA!R7</f>
        <v>0122</v>
      </c>
      <c r="J9" s="11"/>
      <c r="K9" s="49" t="str">
        <f t="shared" si="0"/>
        <v>4519-334072</v>
      </c>
      <c r="L9" s="49" t="str">
        <f t="shared" si="1"/>
        <v>4519-334072 -SERIE: FD894553- POS CONTACTLESS CHIP -  VAUCHER N° 0000084 -  OP: 334072</v>
      </c>
      <c r="M9" s="5"/>
    </row>
    <row r="10" spans="1:13" x14ac:dyDescent="0.25">
      <c r="B10" s="48" t="str">
        <f>+BOTICA!G8</f>
        <v>06/01/2026</v>
      </c>
      <c r="C10" s="49" t="str">
        <f>+BOTICA!B8</f>
        <v>SERIE: FD894553- POS CONTACTLESS CHIP -  VAUCHER N° 0000082 -  OP: 811660</v>
      </c>
      <c r="D10" s="50">
        <f>+BOTICA!M8</f>
        <v>25</v>
      </c>
      <c r="E10" s="11"/>
      <c r="F10" s="49" t="str">
        <f>+BOTICA!C8</f>
        <v>008474519</v>
      </c>
      <c r="G10" s="51" t="str">
        <f>+BOTICA!A8</f>
        <v>4519-811660</v>
      </c>
      <c r="H10" s="49" t="str">
        <f>+BOTICA!H8</f>
        <v>12:46:50</v>
      </c>
      <c r="I10" s="49" t="str">
        <f>+BOTICA!R8</f>
        <v>0122</v>
      </c>
      <c r="J10" s="11"/>
      <c r="K10" s="49" t="str">
        <f t="shared" si="0"/>
        <v>4519-811660</v>
      </c>
      <c r="L10" s="49" t="str">
        <f t="shared" si="1"/>
        <v>4519-811660 -SERIE: FD894553- POS CONTACTLESS CHIP -  VAUCHER N° 0000082 -  OP: 811660</v>
      </c>
      <c r="M10" s="5"/>
    </row>
    <row r="11" spans="1:13" x14ac:dyDescent="0.25">
      <c r="B11" s="48" t="str">
        <f>+BOTICA!G9</f>
        <v>07/01/2026</v>
      </c>
      <c r="C11" s="49" t="str">
        <f>+BOTICA!B9</f>
        <v>SERIE: MPP002LL3- POS QR -  VAUCHER N° 5004097 -  OP: 983592</v>
      </c>
      <c r="D11" s="50">
        <f>+BOTICA!M9</f>
        <v>59.4</v>
      </c>
      <c r="E11" s="11"/>
      <c r="F11" s="49" t="str">
        <f>+BOTICA!C9</f>
        <v>008474519</v>
      </c>
      <c r="G11" s="51" t="str">
        <f>+BOTICA!A9</f>
        <v>4519-983592</v>
      </c>
      <c r="H11" s="49" t="str">
        <f>+BOTICA!H9</f>
        <v>15:06:42</v>
      </c>
      <c r="I11" s="49" t="str">
        <f>+BOTICA!R9</f>
        <v>0123</v>
      </c>
      <c r="J11" s="11"/>
      <c r="K11" s="49" t="str">
        <f t="shared" si="0"/>
        <v>4519-983592</v>
      </c>
      <c r="L11" s="49" t="str">
        <f t="shared" si="1"/>
        <v>4519-983592 -SERIE: MPP002LL3- POS QR -  VAUCHER N° 5004097 -  OP: 983592</v>
      </c>
      <c r="M11" s="5"/>
    </row>
    <row r="12" spans="1:13" x14ac:dyDescent="0.25">
      <c r="B12" s="48" t="str">
        <f>+BOTICA!G10</f>
        <v>07/01/2026</v>
      </c>
      <c r="C12" s="49" t="str">
        <f>+BOTICA!B10</f>
        <v>SERIE: FD894553- POS CONTACTLESS CHIP -  VAUCHER N° 0000093 -  OP: 557204</v>
      </c>
      <c r="D12" s="50">
        <f>+BOTICA!M10</f>
        <v>45</v>
      </c>
      <c r="E12" s="11"/>
      <c r="F12" s="49" t="str">
        <f>+BOTICA!C10</f>
        <v>008474519</v>
      </c>
      <c r="G12" s="51" t="str">
        <f>+BOTICA!A10</f>
        <v>4519-557204</v>
      </c>
      <c r="H12" s="49" t="str">
        <f>+BOTICA!H10</f>
        <v>10:22:41</v>
      </c>
      <c r="I12" s="49" t="str">
        <f>+BOTICA!R10</f>
        <v>0123</v>
      </c>
      <c r="J12" s="11"/>
      <c r="K12" s="49" t="str">
        <f t="shared" si="0"/>
        <v>4519-557204</v>
      </c>
      <c r="L12" s="49" t="str">
        <f t="shared" si="1"/>
        <v>4519-557204 -SERIE: FD894553- POS CONTACTLESS CHIP -  VAUCHER N° 0000093 -  OP: 557204</v>
      </c>
      <c r="M12" s="5"/>
    </row>
    <row r="13" spans="1:13" x14ac:dyDescent="0.25">
      <c r="B13" s="48" t="str">
        <f>+BOTICA!G11</f>
        <v>07/01/2026</v>
      </c>
      <c r="C13" s="49" t="str">
        <f>+BOTICA!B11</f>
        <v>SERIE: FD894553- POS CONTACTLESS CHIP -  VAUCHER N° 0000091 -  OP: 196070</v>
      </c>
      <c r="D13" s="50">
        <f>+BOTICA!M11</f>
        <v>72</v>
      </c>
      <c r="E13" s="11"/>
      <c r="F13" s="49" t="str">
        <f>+BOTICA!C11</f>
        <v>008474519</v>
      </c>
      <c r="G13" s="51" t="str">
        <f>+BOTICA!A11</f>
        <v>4519-196070</v>
      </c>
      <c r="H13" s="49" t="str">
        <f>+BOTICA!H11</f>
        <v>09:06:07</v>
      </c>
      <c r="I13" s="49" t="str">
        <f>+BOTICA!R11</f>
        <v>0123</v>
      </c>
      <c r="J13" s="11"/>
      <c r="K13" s="49" t="str">
        <f t="shared" si="0"/>
        <v>4519-196070</v>
      </c>
      <c r="L13" s="49" t="str">
        <f t="shared" si="1"/>
        <v>4519-196070 -SERIE: FD894553- POS CONTACTLESS CHIP -  VAUCHER N° 0000091 -  OP: 196070</v>
      </c>
      <c r="M13" s="5"/>
    </row>
    <row r="14" spans="1:13" x14ac:dyDescent="0.25">
      <c r="B14" s="48" t="str">
        <f>+BOTICA!G12</f>
        <v>12/01/2026</v>
      </c>
      <c r="C14" s="49" t="str">
        <f>+BOTICA!B12</f>
        <v>SERIE: FD894553- POS CONTACTLESS CHIP -  VAUCHER N° 0000102 -  OP: 061394</v>
      </c>
      <c r="D14" s="50">
        <f>+BOTICA!M12</f>
        <v>391</v>
      </c>
      <c r="E14" s="11"/>
      <c r="F14" s="49" t="str">
        <f>+BOTICA!C12</f>
        <v>008474519</v>
      </c>
      <c r="G14" s="51" t="str">
        <f>+BOTICA!A12</f>
        <v>4519-061394</v>
      </c>
      <c r="H14" s="49" t="str">
        <f>+BOTICA!H12</f>
        <v>16:30:05</v>
      </c>
      <c r="I14" s="49" t="str">
        <f>+BOTICA!R12</f>
        <v>0124</v>
      </c>
      <c r="J14" s="11"/>
      <c r="K14" s="49" t="str">
        <f t="shared" si="0"/>
        <v>4519-061394</v>
      </c>
      <c r="L14" s="49" t="str">
        <f t="shared" si="1"/>
        <v>4519-061394 -SERIE: FD894553- POS CONTACTLESS CHIP -  VAUCHER N° 0000102 -  OP: 061394</v>
      </c>
      <c r="M14" s="5"/>
    </row>
    <row r="15" spans="1:13" x14ac:dyDescent="0.25">
      <c r="B15" s="48" t="str">
        <f>+BOTICA!G13</f>
        <v>13/01/2026</v>
      </c>
      <c r="C15" s="49" t="str">
        <f>+BOTICA!B13</f>
        <v>SERIE: FD894553- POS CONTACTLESS CHIP -  VAUCHER N° 0000108 -  OP: 399573</v>
      </c>
      <c r="D15" s="50">
        <f>+BOTICA!M13</f>
        <v>32</v>
      </c>
      <c r="E15" s="11"/>
      <c r="F15" s="49" t="str">
        <f>+BOTICA!C13</f>
        <v>008474519</v>
      </c>
      <c r="G15" s="51" t="str">
        <f>+BOTICA!A13</f>
        <v>4519-399573</v>
      </c>
      <c r="H15" s="49" t="str">
        <f>+BOTICA!H13</f>
        <v>11:39:50</v>
      </c>
      <c r="I15" s="49" t="str">
        <f>+BOTICA!R13</f>
        <v>0125</v>
      </c>
      <c r="J15" s="11"/>
      <c r="K15" s="49" t="str">
        <f t="shared" si="0"/>
        <v>4519-399573</v>
      </c>
      <c r="L15" s="49" t="str">
        <f t="shared" si="1"/>
        <v>4519-399573 -SERIE: FD894553- POS CONTACTLESS CHIP -  VAUCHER N° 0000108 -  OP: 399573</v>
      </c>
      <c r="M15" s="5"/>
    </row>
    <row r="16" spans="1:13" x14ac:dyDescent="0.25">
      <c r="B16" s="48" t="str">
        <f>+BOTICA!G14</f>
        <v>14/01/2026</v>
      </c>
      <c r="C16" s="49" t="str">
        <f>+BOTICA!B14</f>
        <v>SERIE: MPP002LL3- POS QR -  VAUCHER N° 6022177 -  OP: 965662</v>
      </c>
      <c r="D16" s="50">
        <f>+BOTICA!M14</f>
        <v>126.9</v>
      </c>
      <c r="E16" s="11"/>
      <c r="F16" s="49" t="str">
        <f>+BOTICA!C14</f>
        <v>008474519</v>
      </c>
      <c r="G16" s="51" t="str">
        <f>+BOTICA!A14</f>
        <v>4519-965662</v>
      </c>
      <c r="H16" s="49" t="str">
        <f>+BOTICA!H14</f>
        <v>16:28:11</v>
      </c>
      <c r="I16" s="49" t="str">
        <f>+BOTICA!R14</f>
        <v>0126</v>
      </c>
      <c r="J16" s="11"/>
      <c r="K16" s="49" t="str">
        <f t="shared" si="0"/>
        <v>4519-965662</v>
      </c>
      <c r="L16" s="49" t="str">
        <f t="shared" si="1"/>
        <v>4519-965662 -SERIE: MPP002LL3- POS QR -  VAUCHER N° 6022177 -  OP: 965662</v>
      </c>
      <c r="M16" s="5"/>
    </row>
    <row r="17" spans="2:13" x14ac:dyDescent="0.25">
      <c r="B17" s="48" t="str">
        <f>+BOTICA!G15</f>
        <v>15/01/2026</v>
      </c>
      <c r="C17" s="49" t="str">
        <f>+BOTICA!B15</f>
        <v>SERIE: FD894553- POS CONTACTLESS CHIP -  VAUCHER N° 0000147 -  OP: 750155</v>
      </c>
      <c r="D17" s="50">
        <f>+BOTICA!M15</f>
        <v>74</v>
      </c>
      <c r="E17" s="11"/>
      <c r="F17" s="49" t="str">
        <f>+BOTICA!C15</f>
        <v>008474519</v>
      </c>
      <c r="G17" s="51" t="str">
        <f>+BOTICA!A15</f>
        <v>4519-750155</v>
      </c>
      <c r="H17" s="49" t="str">
        <f>+BOTICA!H15</f>
        <v>11:46:50</v>
      </c>
      <c r="I17" s="49" t="str">
        <f>+BOTICA!R15</f>
        <v>0127</v>
      </c>
      <c r="J17" s="11"/>
      <c r="K17" s="49" t="str">
        <f t="shared" si="0"/>
        <v>4519-750155</v>
      </c>
      <c r="L17" s="49" t="str">
        <f t="shared" si="1"/>
        <v>4519-750155 -SERIE: FD894553- POS CONTACTLESS CHIP -  VAUCHER N° 0000147 -  OP: 750155</v>
      </c>
      <c r="M17" s="5"/>
    </row>
    <row r="18" spans="2:13" x14ac:dyDescent="0.25">
      <c r="B18" s="48" t="str">
        <f>+BOTICA!G16</f>
        <v>16/01/2026</v>
      </c>
      <c r="C18" s="49" t="str">
        <f>+BOTICA!B16</f>
        <v>SERIE: MPP002LL3- POS QR -  VAUCHER N° 6049819 -  OP: 652498</v>
      </c>
      <c r="D18" s="50">
        <f>+BOTICA!M16</f>
        <v>27</v>
      </c>
      <c r="E18" s="11"/>
      <c r="F18" s="49" t="str">
        <f>+BOTICA!C16</f>
        <v>008474519</v>
      </c>
      <c r="G18" s="51" t="str">
        <f>+BOTICA!A16</f>
        <v>4519-652498</v>
      </c>
      <c r="H18" s="49" t="str">
        <f>+BOTICA!H16</f>
        <v>16:57:36</v>
      </c>
      <c r="I18" s="49">
        <f>+BOTICA!R16</f>
        <v>5294</v>
      </c>
      <c r="J18" s="11"/>
      <c r="K18" s="49" t="str">
        <f t="shared" si="0"/>
        <v>4519-652498</v>
      </c>
      <c r="L18" s="49" t="str">
        <f t="shared" si="1"/>
        <v>4519-652498 -SERIE: MPP002LL3- POS QR -  VAUCHER N° 6049819 -  OP: 652498</v>
      </c>
      <c r="M18" s="5"/>
    </row>
    <row r="19" spans="2:13" x14ac:dyDescent="0.25">
      <c r="B19" s="48" t="str">
        <f>+BOTICA!G17</f>
        <v>16/01/2026</v>
      </c>
      <c r="C19" s="49" t="str">
        <f>+BOTICA!B17</f>
        <v>SERIE: FD894553- POS CONTACTLESS CHIP -  VAUCHER N° 0000157 -  OP: 513299</v>
      </c>
      <c r="D19" s="50">
        <f>+BOTICA!M17</f>
        <v>40</v>
      </c>
      <c r="E19" s="11"/>
      <c r="F19" s="49" t="str">
        <f>+BOTICA!C17</f>
        <v>008474519</v>
      </c>
      <c r="G19" s="51" t="str">
        <f>+BOTICA!A17</f>
        <v>4519-513299</v>
      </c>
      <c r="H19" s="49" t="str">
        <f>+BOTICA!H17</f>
        <v>18:02:21</v>
      </c>
      <c r="I19" s="49" t="str">
        <f>+BOTICA!R17</f>
        <v>0128</v>
      </c>
      <c r="J19" s="11"/>
      <c r="K19" s="49" t="str">
        <f t="shared" si="0"/>
        <v>4519-513299</v>
      </c>
      <c r="L19" s="49" t="str">
        <f t="shared" si="1"/>
        <v>4519-513299 -SERIE: FD894553- POS CONTACTLESS CHIP -  VAUCHER N° 0000157 -  OP: 513299</v>
      </c>
      <c r="M19" s="5"/>
    </row>
    <row r="20" spans="2:13" x14ac:dyDescent="0.25">
      <c r="B20" s="48" t="str">
        <f>+BOTICA!G18</f>
        <v>16/01/2026</v>
      </c>
      <c r="C20" s="49" t="str">
        <f>+BOTICA!B18</f>
        <v>SERIE: FD894553- POS CONTACTLESS CHIP -  VAUCHER N° 0000152 -  OP: 259216</v>
      </c>
      <c r="D20" s="50">
        <f>+BOTICA!M18</f>
        <v>8</v>
      </c>
      <c r="E20" s="11"/>
      <c r="F20" s="49" t="str">
        <f>+BOTICA!C18</f>
        <v>008474519</v>
      </c>
      <c r="G20" s="51" t="str">
        <f>+BOTICA!A18</f>
        <v>4519-259216</v>
      </c>
      <c r="H20" s="49" t="str">
        <f>+BOTICA!H18</f>
        <v>14:09:16</v>
      </c>
      <c r="I20" s="49" t="str">
        <f>+BOTICA!R18</f>
        <v>0128</v>
      </c>
      <c r="J20" s="11"/>
      <c r="K20" s="49" t="str">
        <f t="shared" si="0"/>
        <v>4519-259216</v>
      </c>
      <c r="L20" s="49" t="str">
        <f t="shared" si="1"/>
        <v>4519-259216 -SERIE: FD894553- POS CONTACTLESS CHIP -  VAUCHER N° 0000152 -  OP: 259216</v>
      </c>
      <c r="M20" s="5"/>
    </row>
    <row r="21" spans="2:13" x14ac:dyDescent="0.25">
      <c r="B21" s="48" t="str">
        <f>+BOTICA!G19</f>
        <v>19/01/2026</v>
      </c>
      <c r="C21" s="49" t="str">
        <f>+BOTICA!B19</f>
        <v>SERIE: FD894553- POS CONTACTLESS CHIP -  VAUCHER N° 0000168 -  OP: 274164</v>
      </c>
      <c r="D21" s="50">
        <f>+BOTICA!M19</f>
        <v>222.1</v>
      </c>
      <c r="E21" s="11"/>
      <c r="F21" s="49" t="str">
        <f>+BOTICA!C19</f>
        <v>008474519</v>
      </c>
      <c r="G21" s="51" t="str">
        <f>+BOTICA!A19</f>
        <v>4519-274164</v>
      </c>
      <c r="H21" s="49" t="str">
        <f>+BOTICA!H19</f>
        <v>13:27:34</v>
      </c>
      <c r="I21" s="49" t="str">
        <f>+BOTICA!R19</f>
        <v>0129</v>
      </c>
      <c r="J21" s="11"/>
      <c r="K21" s="49" t="str">
        <f t="shared" si="0"/>
        <v>4519-274164</v>
      </c>
      <c r="L21" s="49" t="str">
        <f t="shared" si="1"/>
        <v>4519-274164 -SERIE: FD894553- POS CONTACTLESS CHIP -  VAUCHER N° 0000168 -  OP: 274164</v>
      </c>
      <c r="M21" s="5"/>
    </row>
    <row r="22" spans="2:13" x14ac:dyDescent="0.25">
      <c r="B22" s="48" t="str">
        <f>+BOTICA!G20</f>
        <v>19/01/2026</v>
      </c>
      <c r="C22" s="49" t="str">
        <f>+BOTICA!B20</f>
        <v>SERIE: MPP002LL3- POS QR -  VAUCHER N° 3005394 -  OP: 504191</v>
      </c>
      <c r="D22" s="50">
        <f>+BOTICA!M20</f>
        <v>145</v>
      </c>
      <c r="E22" s="11"/>
      <c r="F22" s="49" t="str">
        <f>+BOTICA!C20</f>
        <v>008474519</v>
      </c>
      <c r="G22" s="51" t="str">
        <f>+BOTICA!A20</f>
        <v>4519-504191</v>
      </c>
      <c r="H22" s="49" t="str">
        <f>+BOTICA!H20</f>
        <v>13:05:28</v>
      </c>
      <c r="I22" s="49" t="str">
        <f>+BOTICA!R20</f>
        <v>0129</v>
      </c>
      <c r="J22" s="11"/>
      <c r="K22" s="49" t="str">
        <f t="shared" si="0"/>
        <v>4519-504191</v>
      </c>
      <c r="L22" s="49" t="str">
        <f t="shared" si="1"/>
        <v>4519-504191 -SERIE: MPP002LL3- POS QR -  VAUCHER N° 3005394 -  OP: 504191</v>
      </c>
      <c r="M22" s="5"/>
    </row>
    <row r="23" spans="2:13" x14ac:dyDescent="0.25">
      <c r="B23" s="48" t="str">
        <f>+BOTICA!G21</f>
        <v>20/01/2026</v>
      </c>
      <c r="C23" s="49" t="str">
        <f>+BOTICA!B21</f>
        <v>SERIE: FD894553- POS CONTACTLESS CHIP -  VAUCHER N° 0000174 -  OP: 203143</v>
      </c>
      <c r="D23" s="50">
        <f>+BOTICA!M21</f>
        <v>80</v>
      </c>
      <c r="E23" s="11"/>
      <c r="F23" s="49" t="str">
        <f>+BOTICA!C21</f>
        <v>008474519</v>
      </c>
      <c r="G23" s="51" t="str">
        <f>+BOTICA!A21</f>
        <v>4519-203143</v>
      </c>
      <c r="H23" s="49" t="str">
        <f>+BOTICA!H21</f>
        <v>10:57:13</v>
      </c>
      <c r="I23" s="49" t="str">
        <f>+BOTICA!R21</f>
        <v>0130</v>
      </c>
      <c r="J23" s="11"/>
      <c r="K23" s="49" t="str">
        <f t="shared" si="0"/>
        <v>4519-203143</v>
      </c>
      <c r="L23" s="49" t="str">
        <f t="shared" si="1"/>
        <v>4519-203143 -SERIE: FD894553- POS CONTACTLESS CHIP -  VAUCHER N° 0000174 -  OP: 203143</v>
      </c>
      <c r="M23" s="5"/>
    </row>
    <row r="24" spans="2:13" x14ac:dyDescent="0.25">
      <c r="B24" s="48" t="str">
        <f>+BOTICA!G22</f>
        <v>20/01/2026</v>
      </c>
      <c r="C24" s="49" t="str">
        <f>+BOTICA!B22</f>
        <v>SERIE: FD894553- QPS CHIP EMV -  VAUCHER N° 0000185 -  OP: 174967</v>
      </c>
      <c r="D24" s="50">
        <f>+BOTICA!M22</f>
        <v>90</v>
      </c>
      <c r="E24" s="11"/>
      <c r="F24" s="49" t="str">
        <f>+BOTICA!C22</f>
        <v>008474519</v>
      </c>
      <c r="G24" s="51" t="str">
        <f>+BOTICA!A22</f>
        <v>4519-174967</v>
      </c>
      <c r="H24" s="49" t="str">
        <f>+BOTICA!H22</f>
        <v>18:17:42</v>
      </c>
      <c r="I24" s="49" t="str">
        <f>+BOTICA!R22</f>
        <v>0130</v>
      </c>
      <c r="J24" s="11"/>
      <c r="K24" s="49" t="str">
        <f t="shared" si="0"/>
        <v>4519-174967</v>
      </c>
      <c r="L24" s="49" t="str">
        <f t="shared" si="1"/>
        <v>4519-174967 -SERIE: FD894553- QPS CHIP EMV -  VAUCHER N° 0000185 -  OP: 174967</v>
      </c>
      <c r="M24" s="5"/>
    </row>
    <row r="25" spans="2:13" x14ac:dyDescent="0.25">
      <c r="B25" s="48" t="str">
        <f>+BOTICA!G23</f>
        <v>21/01/2026</v>
      </c>
      <c r="C25" s="49" t="str">
        <f>+BOTICA!B23</f>
        <v>SERIE: FD894553- POS CONTACTLESS CHIP -  VAUCHER N° 0000190 -  OP: 495874</v>
      </c>
      <c r="D25" s="50">
        <f>+BOTICA!M23</f>
        <v>54</v>
      </c>
      <c r="E25" s="11"/>
      <c r="F25" s="49" t="str">
        <f>+BOTICA!C23</f>
        <v>008474519</v>
      </c>
      <c r="G25" s="51" t="str">
        <f>+BOTICA!A23</f>
        <v>4519-495874</v>
      </c>
      <c r="H25" s="49" t="str">
        <f>+BOTICA!H23</f>
        <v>13:41:45</v>
      </c>
      <c r="I25" s="49" t="str">
        <f>+BOTICA!R23</f>
        <v>0131</v>
      </c>
      <c r="J25" s="11"/>
      <c r="K25" s="49" t="str">
        <f t="shared" si="0"/>
        <v>4519-495874</v>
      </c>
      <c r="L25" s="49" t="str">
        <f t="shared" si="1"/>
        <v>4519-495874 -SERIE: FD894553- POS CONTACTLESS CHIP -  VAUCHER N° 0000190 -  OP: 495874</v>
      </c>
      <c r="M25" s="5"/>
    </row>
    <row r="26" spans="2:13" x14ac:dyDescent="0.25">
      <c r="B26" s="48" t="str">
        <f>+BOTICA!G24</f>
        <v>22/01/2026</v>
      </c>
      <c r="C26" s="49" t="str">
        <f>+BOTICA!B24</f>
        <v>SERIE: MPP002LL3- POS QR -  VAUCHER N° 5031583 -  OP: 370162</v>
      </c>
      <c r="D26" s="50">
        <f>+BOTICA!M24</f>
        <v>30</v>
      </c>
      <c r="E26" s="11"/>
      <c r="F26" s="49" t="str">
        <f>+BOTICA!C24</f>
        <v>008474519</v>
      </c>
      <c r="G26" s="51" t="str">
        <f>+BOTICA!A24</f>
        <v>4519-370162</v>
      </c>
      <c r="H26" s="49" t="str">
        <f>+BOTICA!H24</f>
        <v>15:39:36</v>
      </c>
      <c r="I26" s="49" t="str">
        <f>+BOTICA!R24</f>
        <v>0132</v>
      </c>
      <c r="J26" s="11"/>
      <c r="K26" s="49" t="str">
        <f t="shared" si="0"/>
        <v>4519-370162</v>
      </c>
      <c r="L26" s="49" t="str">
        <f t="shared" si="1"/>
        <v>4519-370162 -SERIE: MPP002LL3- POS QR -  VAUCHER N° 5031583 -  OP: 370162</v>
      </c>
      <c r="M26" s="5"/>
    </row>
    <row r="27" spans="2:13" x14ac:dyDescent="0.25">
      <c r="B27" s="48" t="str">
        <f>+BOTICA!G25</f>
        <v>22/01/2026</v>
      </c>
      <c r="C27" s="49" t="str">
        <f>+BOTICA!B25</f>
        <v>SERIE: FD894553- POS CHIP EMV -  VAUCHER N° 0000204 -  OP: 944093</v>
      </c>
      <c r="D27" s="50">
        <f>+BOTICA!M25</f>
        <v>70</v>
      </c>
      <c r="E27" s="11"/>
      <c r="F27" s="49" t="str">
        <f>+BOTICA!C25</f>
        <v>008474519</v>
      </c>
      <c r="G27" s="51" t="str">
        <f>+BOTICA!A25</f>
        <v>4519-944093</v>
      </c>
      <c r="H27" s="49" t="str">
        <f>+BOTICA!H25</f>
        <v>17:21:02</v>
      </c>
      <c r="I27" s="49" t="str">
        <f>+BOTICA!R25</f>
        <v>0132</v>
      </c>
      <c r="J27" s="11"/>
      <c r="K27" s="49" t="str">
        <f t="shared" si="0"/>
        <v>4519-944093</v>
      </c>
      <c r="L27" s="49" t="str">
        <f t="shared" si="1"/>
        <v>4519-944093 -SERIE: FD894553- POS CHIP EMV -  VAUCHER N° 0000204 -  OP: 944093</v>
      </c>
      <c r="M27" s="5"/>
    </row>
    <row r="28" spans="2:13" x14ac:dyDescent="0.25">
      <c r="B28" s="48" t="str">
        <f>+BOTICA!G26</f>
        <v>22/01/2026</v>
      </c>
      <c r="C28" s="49" t="str">
        <f>+BOTICA!B26</f>
        <v>SERIE: FD894553- POS CONTACTLESS CHIP -  VAUCHER N° 0000202 -  OP: 266411</v>
      </c>
      <c r="D28" s="50">
        <f>+BOTICA!M26</f>
        <v>55</v>
      </c>
      <c r="E28" s="11"/>
      <c r="F28" s="49" t="str">
        <f>+BOTICA!C26</f>
        <v>008474519</v>
      </c>
      <c r="G28" s="51" t="str">
        <f>+BOTICA!A26</f>
        <v>4519-266411</v>
      </c>
      <c r="H28" s="49" t="str">
        <f>+BOTICA!H26</f>
        <v>16:07:06</v>
      </c>
      <c r="I28" s="49" t="str">
        <f>+BOTICA!R26</f>
        <v>0132</v>
      </c>
      <c r="J28" s="11"/>
      <c r="K28" s="49" t="str">
        <f t="shared" si="0"/>
        <v>4519-266411</v>
      </c>
      <c r="L28" s="49" t="str">
        <f t="shared" si="1"/>
        <v>4519-266411 -SERIE: FD894553- POS CONTACTLESS CHIP -  VAUCHER N° 0000202 -  OP: 266411</v>
      </c>
      <c r="M28" s="5"/>
    </row>
    <row r="29" spans="2:13" x14ac:dyDescent="0.25">
      <c r="B29" s="48" t="str">
        <f>+BOTICA!G27</f>
        <v>22/01/2026</v>
      </c>
      <c r="C29" s="49" t="str">
        <f>+BOTICA!B27</f>
        <v>SERIE: FD894553- POS CONTACTLESS CHIP -  VAUCHER N° 0000200 -  OP: 224574</v>
      </c>
      <c r="D29" s="50">
        <f>+BOTICA!M27</f>
        <v>8</v>
      </c>
      <c r="E29" s="11"/>
      <c r="F29" s="49" t="str">
        <f>+BOTICA!C27</f>
        <v>008474519</v>
      </c>
      <c r="G29" s="51" t="str">
        <f>+BOTICA!A27</f>
        <v>4519-224574</v>
      </c>
      <c r="H29" s="49" t="str">
        <f>+BOTICA!H27</f>
        <v>15:48:43</v>
      </c>
      <c r="I29" s="49" t="str">
        <f>+BOTICA!R27</f>
        <v>0132</v>
      </c>
      <c r="J29" s="11"/>
      <c r="K29" s="49" t="str">
        <f t="shared" si="0"/>
        <v>4519-224574</v>
      </c>
      <c r="L29" s="49" t="str">
        <f t="shared" si="1"/>
        <v>4519-224574 -SERIE: FD894553- POS CONTACTLESS CHIP -  VAUCHER N° 0000200 -  OP: 224574</v>
      </c>
      <c r="M29" s="5"/>
    </row>
    <row r="30" spans="2:13" x14ac:dyDescent="0.25">
      <c r="B30" s="48" t="str">
        <f>+BOTICA!G28</f>
        <v>22/01/2026</v>
      </c>
      <c r="C30" s="49" t="str">
        <f>+BOTICA!B28</f>
        <v>SERIE: FD894553- POS CONTACTLESS CHIP -  VAUCHER N° 0000195 -  OP: 596067</v>
      </c>
      <c r="D30" s="50">
        <f>+BOTICA!M28</f>
        <v>14.9</v>
      </c>
      <c r="E30" s="11"/>
      <c r="F30" s="49" t="str">
        <f>+BOTICA!C28</f>
        <v>008474519</v>
      </c>
      <c r="G30" s="51" t="str">
        <f>+BOTICA!A28</f>
        <v>4519-596067</v>
      </c>
      <c r="H30" s="49" t="str">
        <f>+BOTICA!H28</f>
        <v>15:11:06</v>
      </c>
      <c r="I30" s="49" t="str">
        <f>+BOTICA!R28</f>
        <v>0132</v>
      </c>
      <c r="J30" s="11"/>
      <c r="K30" s="49" t="str">
        <f t="shared" si="0"/>
        <v>4519-596067</v>
      </c>
      <c r="L30" s="49" t="str">
        <f t="shared" si="1"/>
        <v>4519-596067 -SERIE: FD894553- POS CONTACTLESS CHIP -  VAUCHER N° 0000195 -  OP: 596067</v>
      </c>
      <c r="M30" s="5"/>
    </row>
    <row r="31" spans="2:13" x14ac:dyDescent="0.25">
      <c r="B31" s="48" t="str">
        <f>+BOTICA!G29</f>
        <v>23/01/2026</v>
      </c>
      <c r="C31" s="49" t="str">
        <f>+BOTICA!B29</f>
        <v>SERIE: FD894553- POS CONTACTLESS CHIP -  VAUCHER N° 0000209 -  OP: 213192</v>
      </c>
      <c r="D31" s="50">
        <f>+BOTICA!M29</f>
        <v>25</v>
      </c>
      <c r="E31" s="11"/>
      <c r="F31" s="49" t="str">
        <f>+BOTICA!C29</f>
        <v>008474519</v>
      </c>
      <c r="G31" s="51" t="str">
        <f>+BOTICA!A29</f>
        <v>4519-213192</v>
      </c>
      <c r="H31" s="49" t="str">
        <f>+BOTICA!H29</f>
        <v>10:51:34</v>
      </c>
      <c r="I31" s="49" t="str">
        <f>+BOTICA!R29</f>
        <v>0133</v>
      </c>
      <c r="J31" s="11"/>
      <c r="K31" s="49" t="str">
        <f t="shared" si="0"/>
        <v>4519-213192</v>
      </c>
      <c r="L31" s="49" t="str">
        <f t="shared" si="1"/>
        <v>4519-213192 -SERIE: FD894553- POS CONTACTLESS CHIP -  VAUCHER N° 0000209 -  OP: 213192</v>
      </c>
      <c r="M31" s="5"/>
    </row>
    <row r="32" spans="2:13" x14ac:dyDescent="0.25">
      <c r="B32" s="48" t="str">
        <f>+BOTICA!G30</f>
        <v>26/01/2026</v>
      </c>
      <c r="C32" s="49" t="str">
        <f>+BOTICA!B30</f>
        <v>SERIE: MPP002LL3- POS QR -  VAUCHER N° 2002750 -  OP: 550902</v>
      </c>
      <c r="D32" s="50">
        <f>+BOTICA!M30</f>
        <v>91</v>
      </c>
      <c r="E32" s="11"/>
      <c r="F32" s="49" t="str">
        <f>+BOTICA!C30</f>
        <v>008474519</v>
      </c>
      <c r="G32" s="51" t="str">
        <f>+BOTICA!A30</f>
        <v>4519-550902</v>
      </c>
      <c r="H32" s="49" t="str">
        <f>+BOTICA!H30</f>
        <v>12:03:00</v>
      </c>
      <c r="I32" s="49" t="str">
        <f>+BOTICA!R30</f>
        <v>0134</v>
      </c>
      <c r="J32" s="11"/>
      <c r="K32" s="49" t="str">
        <f t="shared" si="0"/>
        <v>4519-550902</v>
      </c>
      <c r="L32" s="49" t="str">
        <f t="shared" si="1"/>
        <v>4519-550902 -SERIE: MPP002LL3- POS QR -  VAUCHER N° 2002750 -  OP: 550902</v>
      </c>
      <c r="M32" s="5"/>
    </row>
    <row r="33" spans="2:13" x14ac:dyDescent="0.25">
      <c r="B33" s="48" t="str">
        <f>+BOTICA!G31</f>
        <v>26/01/2026</v>
      </c>
      <c r="C33" s="49" t="str">
        <f>+BOTICA!B31</f>
        <v>SERIE: MPP002LL3- POS QR -  VAUCHER N° 3030502 -  OP: 989026</v>
      </c>
      <c r="D33" s="50">
        <f>+BOTICA!M31</f>
        <v>8</v>
      </c>
      <c r="E33" s="11"/>
      <c r="F33" s="49" t="str">
        <f>+BOTICA!C31</f>
        <v>008474519</v>
      </c>
      <c r="G33" s="51" t="str">
        <f>+BOTICA!A31</f>
        <v>4519-989026</v>
      </c>
      <c r="H33" s="49" t="str">
        <f>+BOTICA!H31</f>
        <v>13:29:42</v>
      </c>
      <c r="I33" s="49" t="str">
        <f>+BOTICA!R31</f>
        <v>0134</v>
      </c>
      <c r="J33" s="11"/>
      <c r="K33" s="49" t="str">
        <f t="shared" si="0"/>
        <v>4519-989026</v>
      </c>
      <c r="L33" s="49" t="str">
        <f t="shared" si="1"/>
        <v>4519-989026 -SERIE: MPP002LL3- POS QR -  VAUCHER N° 3030502 -  OP: 989026</v>
      </c>
      <c r="M33" s="5"/>
    </row>
    <row r="34" spans="2:13" x14ac:dyDescent="0.25">
      <c r="B34" s="48" t="str">
        <f>+BOTICA!G32</f>
        <v>26/01/2026</v>
      </c>
      <c r="C34" s="49" t="str">
        <f>+BOTICA!B32</f>
        <v>SERIE: FD894553- POS CONTACTLESS CHIP -  VAUCHER N° 0000225 -  OP: 008213</v>
      </c>
      <c r="D34" s="50">
        <f>+BOTICA!M32</f>
        <v>121.5</v>
      </c>
      <c r="E34" s="11"/>
      <c r="F34" s="49" t="str">
        <f>+BOTICA!C32</f>
        <v>008474519</v>
      </c>
      <c r="G34" s="51" t="str">
        <f>+BOTICA!A32</f>
        <v>4519-008213</v>
      </c>
      <c r="H34" s="49" t="str">
        <f>+BOTICA!H32</f>
        <v>13:28:08</v>
      </c>
      <c r="I34" s="49" t="str">
        <f>+BOTICA!R32</f>
        <v>0134</v>
      </c>
      <c r="J34" s="11"/>
      <c r="K34" s="49" t="str">
        <f t="shared" si="0"/>
        <v>4519-008213</v>
      </c>
      <c r="L34" s="49" t="str">
        <f t="shared" si="1"/>
        <v>4519-008213 -SERIE: FD894553- POS CONTACTLESS CHIP -  VAUCHER N° 0000225 -  OP: 008213</v>
      </c>
      <c r="M34" s="5"/>
    </row>
    <row r="35" spans="2:13" x14ac:dyDescent="0.25">
      <c r="B35" s="48" t="str">
        <f>+BOTICA!G33</f>
        <v>26/01/2026</v>
      </c>
      <c r="C35" s="49" t="str">
        <f>+BOTICA!B33</f>
        <v>SERIE: FD894553- POS CONTACTLESS CHIP -  VAUCHER N° 0000223 -  OP: 009136</v>
      </c>
      <c r="D35" s="50">
        <f>+BOTICA!M33</f>
        <v>39.950000000000003</v>
      </c>
      <c r="E35" s="11"/>
      <c r="F35" s="49" t="str">
        <f>+BOTICA!C33</f>
        <v>008474519</v>
      </c>
      <c r="G35" s="51" t="str">
        <f>+BOTICA!A33</f>
        <v>4519-009136</v>
      </c>
      <c r="H35" s="49" t="str">
        <f>+BOTICA!H33</f>
        <v>13:13:33</v>
      </c>
      <c r="I35" s="49" t="str">
        <f>+BOTICA!R33</f>
        <v>0134</v>
      </c>
      <c r="J35" s="11"/>
      <c r="K35" s="49" t="str">
        <f t="shared" si="0"/>
        <v>4519-009136</v>
      </c>
      <c r="L35" s="49" t="str">
        <f t="shared" si="1"/>
        <v>4519-009136 -SERIE: FD894553- POS CONTACTLESS CHIP -  VAUCHER N° 0000223 -  OP: 009136</v>
      </c>
      <c r="M35" s="5"/>
    </row>
    <row r="36" spans="2:13" x14ac:dyDescent="0.25">
      <c r="B36" s="48" t="str">
        <f>+BOTICA!G34</f>
        <v>26/01/2026</v>
      </c>
      <c r="C36" s="49" t="str">
        <f>+BOTICA!B34</f>
        <v>SERIE: FD894553- POS CONTACTLESS CHIP -  VAUCHER N° 0000221 -  OP: 009101</v>
      </c>
      <c r="D36" s="50">
        <f>+BOTICA!M34</f>
        <v>157.1</v>
      </c>
      <c r="E36" s="11"/>
      <c r="F36" s="49" t="str">
        <f>+BOTICA!C34</f>
        <v>008474519</v>
      </c>
      <c r="G36" s="51" t="str">
        <f>+BOTICA!A34</f>
        <v>4519-009101</v>
      </c>
      <c r="H36" s="49" t="str">
        <f>+BOTICA!H34</f>
        <v>12:40:50</v>
      </c>
      <c r="I36" s="49" t="str">
        <f>+BOTICA!R34</f>
        <v>0134</v>
      </c>
      <c r="J36" s="11"/>
      <c r="K36" s="49" t="str">
        <f t="shared" si="0"/>
        <v>4519-009101</v>
      </c>
      <c r="L36" s="49" t="str">
        <f t="shared" si="1"/>
        <v>4519-009101 -SERIE: FD894553- POS CONTACTLESS CHIP -  VAUCHER N° 0000221 -  OP: 009101</v>
      </c>
      <c r="M36" s="5"/>
    </row>
    <row r="37" spans="2:13" x14ac:dyDescent="0.25">
      <c r="B37" s="48" t="str">
        <f>+BOTICA!G35</f>
        <v>26/01/2026</v>
      </c>
      <c r="C37" s="49" t="str">
        <f>+BOTICA!B35</f>
        <v>SERIE: FD894553- POS CONTACTLESS CHIP -  VAUCHER N° 0000219 -  OP: 002639</v>
      </c>
      <c r="D37" s="50">
        <f>+BOTICA!M35</f>
        <v>181.95</v>
      </c>
      <c r="E37" s="11"/>
      <c r="F37" s="49" t="str">
        <f>+BOTICA!C35</f>
        <v>008474519</v>
      </c>
      <c r="G37" s="51" t="str">
        <f>+BOTICA!A35</f>
        <v>4519-002639</v>
      </c>
      <c r="H37" s="49" t="str">
        <f>+BOTICA!H35</f>
        <v>12:11:30</v>
      </c>
      <c r="I37" s="49" t="str">
        <f>+BOTICA!R35</f>
        <v>0134</v>
      </c>
      <c r="J37" s="11"/>
      <c r="K37" s="49" t="str">
        <f t="shared" si="0"/>
        <v>4519-002639</v>
      </c>
      <c r="L37" s="49" t="str">
        <f t="shared" si="1"/>
        <v>4519-002639 -SERIE: FD894553- POS CONTACTLESS CHIP -  VAUCHER N° 0000219 -  OP: 002639</v>
      </c>
      <c r="M37" s="5"/>
    </row>
    <row r="38" spans="2:13" x14ac:dyDescent="0.25">
      <c r="B38" s="48" t="str">
        <f>+BOTICA!G36</f>
        <v>26/01/2026</v>
      </c>
      <c r="C38" s="49" t="str">
        <f>+BOTICA!B36</f>
        <v>SERIE: FD894553- POS CHIP EMV -  VAUCHER N° 0000214 -  OP: 371169</v>
      </c>
      <c r="D38" s="50">
        <f>+BOTICA!M36</f>
        <v>55</v>
      </c>
      <c r="E38" s="11"/>
      <c r="F38" s="49" t="str">
        <f>+BOTICA!C36</f>
        <v>008474519</v>
      </c>
      <c r="G38" s="51" t="str">
        <f>+BOTICA!A36</f>
        <v>4519-371169</v>
      </c>
      <c r="H38" s="49" t="str">
        <f>+BOTICA!H36</f>
        <v>10:37:04</v>
      </c>
      <c r="I38" s="49" t="str">
        <f>+BOTICA!R36</f>
        <v>0134</v>
      </c>
      <c r="J38" s="11"/>
      <c r="K38" s="49" t="str">
        <f t="shared" si="0"/>
        <v>4519-371169</v>
      </c>
      <c r="L38" s="49" t="str">
        <f t="shared" si="1"/>
        <v>4519-371169 -SERIE: FD894553- POS CHIP EMV -  VAUCHER N° 0000214 -  OP: 371169</v>
      </c>
      <c r="M38" s="5"/>
    </row>
    <row r="39" spans="2:13" x14ac:dyDescent="0.25">
      <c r="B39" s="48" t="str">
        <f>+BOTICA!G37</f>
        <v>27/01/2026</v>
      </c>
      <c r="C39" s="49" t="str">
        <f>+BOTICA!B37</f>
        <v>SERIE: FD894553- POS QR -  VAUCHER N° 0000235 -  OP: 069223</v>
      </c>
      <c r="D39" s="50">
        <f>+BOTICA!M37</f>
        <v>70.55</v>
      </c>
      <c r="E39" s="11"/>
      <c r="F39" s="49" t="str">
        <f>+BOTICA!C37</f>
        <v>008474519</v>
      </c>
      <c r="G39" s="51" t="str">
        <f>+BOTICA!A37</f>
        <v>4519-069223</v>
      </c>
      <c r="H39" s="49" t="str">
        <f>+BOTICA!H37</f>
        <v>15:21:44</v>
      </c>
      <c r="I39" s="49" t="str">
        <f>+BOTICA!R37</f>
        <v>0135</v>
      </c>
      <c r="J39" s="11"/>
      <c r="K39" s="49" t="str">
        <f t="shared" si="0"/>
        <v>4519-069223</v>
      </c>
      <c r="L39" s="49" t="str">
        <f t="shared" si="1"/>
        <v>4519-069223 -SERIE: FD894553- POS QR -  VAUCHER N° 0000235 -  OP: 069223</v>
      </c>
      <c r="M39" s="5"/>
    </row>
    <row r="40" spans="2:13" x14ac:dyDescent="0.25">
      <c r="B40" s="48" t="str">
        <f>+BOTICA!G38</f>
        <v>27/01/2026</v>
      </c>
      <c r="C40" s="49" t="str">
        <f>+BOTICA!B38</f>
        <v>SERIE: FD894553- POS CHIP EMV -  VAUCHER N° 0000233 -  OP: 807018</v>
      </c>
      <c r="D40" s="50">
        <f>+BOTICA!M38</f>
        <v>33.15</v>
      </c>
      <c r="E40" s="11"/>
      <c r="F40" s="49" t="str">
        <f>+BOTICA!C38</f>
        <v>008474519</v>
      </c>
      <c r="G40" s="51" t="str">
        <f>+BOTICA!A38</f>
        <v>4519-807018</v>
      </c>
      <c r="H40" s="49" t="str">
        <f>+BOTICA!H38</f>
        <v>14:16:39</v>
      </c>
      <c r="I40" s="49" t="str">
        <f>+BOTICA!R38</f>
        <v>0135</v>
      </c>
      <c r="J40" s="11"/>
      <c r="K40" s="49" t="str">
        <f t="shared" si="0"/>
        <v>4519-807018</v>
      </c>
      <c r="L40" s="49" t="str">
        <f t="shared" si="1"/>
        <v>4519-807018 -SERIE: FD894553- POS CHIP EMV -  VAUCHER N° 0000233 -  OP: 807018</v>
      </c>
      <c r="M40" s="5"/>
    </row>
    <row r="41" spans="2:13" x14ac:dyDescent="0.25">
      <c r="B41" s="48" t="str">
        <f>+BOTICA!G39</f>
        <v>28/01/2026</v>
      </c>
      <c r="C41" s="49" t="str">
        <f>+BOTICA!B39</f>
        <v>SERIE: FD894553- POS CONTACTLESS CHIP -  VAUCHER N° 0000241 -  OP: 007737</v>
      </c>
      <c r="D41" s="50">
        <f>+BOTICA!M39</f>
        <v>40</v>
      </c>
      <c r="E41" s="11"/>
      <c r="F41" s="49" t="str">
        <f>+BOTICA!C39</f>
        <v>008474519</v>
      </c>
      <c r="G41" s="51" t="str">
        <f>+BOTICA!A39</f>
        <v>4519-007737</v>
      </c>
      <c r="H41" s="49" t="str">
        <f>+BOTICA!H39</f>
        <v>12:21:13</v>
      </c>
      <c r="I41" s="49" t="str">
        <f>+BOTICA!R39</f>
        <v>0136</v>
      </c>
      <c r="J41" s="11"/>
      <c r="K41" s="49" t="str">
        <f t="shared" si="0"/>
        <v>4519-007737</v>
      </c>
      <c r="L41" s="49" t="str">
        <f t="shared" si="1"/>
        <v>4519-007737 -SERIE: FD894553- POS CONTACTLESS CHIP -  VAUCHER N° 0000241 -  OP: 007737</v>
      </c>
      <c r="M41" s="5"/>
    </row>
    <row r="42" spans="2:13" x14ac:dyDescent="0.25">
      <c r="B42" s="48" t="str">
        <f>+BOTICA!G40</f>
        <v>30/01/2026</v>
      </c>
      <c r="C42" s="49" t="str">
        <f>+BOTICA!B40</f>
        <v>SERIE: MPP002LL3- POS QR -  VAUCHER N° 7000306 -  OP: 452117</v>
      </c>
      <c r="D42" s="50">
        <f>+BOTICA!M40</f>
        <v>150.30000000000001</v>
      </c>
      <c r="E42" s="11"/>
      <c r="F42" s="49" t="str">
        <f>+BOTICA!C40</f>
        <v>008474519</v>
      </c>
      <c r="G42" s="51" t="str">
        <f>+BOTICA!A40</f>
        <v>4519-452117</v>
      </c>
      <c r="H42" s="49" t="str">
        <f>+BOTICA!H40</f>
        <v>17:00:07</v>
      </c>
      <c r="I42" s="49" t="str">
        <f>+BOTICA!R40</f>
        <v>0137</v>
      </c>
      <c r="J42" s="11"/>
      <c r="K42" s="49" t="str">
        <f t="shared" si="0"/>
        <v>4519-452117</v>
      </c>
      <c r="L42" s="49" t="str">
        <f t="shared" si="1"/>
        <v>4519-452117 -SERIE: MPP002LL3- POS QR -  VAUCHER N° 7000306 -  OP: 452117</v>
      </c>
      <c r="M42" s="5"/>
    </row>
    <row r="43" spans="2:13" x14ac:dyDescent="0.25">
      <c r="B43" s="48" t="str">
        <f>+BOTICA!G41</f>
        <v>30/01/2026</v>
      </c>
      <c r="C43" s="49" t="str">
        <f>+BOTICA!B41</f>
        <v>SERIE: FD894553- POS CONTACTLESS CHIP -  VAUCHER N° 0000257 -  OP: 838891</v>
      </c>
      <c r="D43" s="50">
        <f>+BOTICA!M41</f>
        <v>8</v>
      </c>
      <c r="E43" s="11"/>
      <c r="F43" s="49" t="str">
        <f>+BOTICA!C41</f>
        <v>008474519</v>
      </c>
      <c r="G43" s="51" t="str">
        <f>+BOTICA!A41</f>
        <v>4519-838891</v>
      </c>
      <c r="H43" s="49" t="str">
        <f>+BOTICA!H41</f>
        <v>18:46:13</v>
      </c>
      <c r="I43" s="49" t="str">
        <f>+BOTICA!R41</f>
        <v>0137</v>
      </c>
      <c r="J43" s="11"/>
      <c r="K43" s="49" t="str">
        <f t="shared" si="0"/>
        <v>4519-838891</v>
      </c>
      <c r="L43" s="49" t="str">
        <f t="shared" si="1"/>
        <v>4519-838891 -SERIE: FD894553- POS CONTACTLESS CHIP -  VAUCHER N° 0000257 -  OP: 838891</v>
      </c>
      <c r="M43" s="5"/>
    </row>
    <row r="44" spans="2:13" x14ac:dyDescent="0.25">
      <c r="B44" s="48" t="str">
        <f>+BOTICA!G42</f>
        <v>30/01/2026</v>
      </c>
      <c r="C44" s="49" t="str">
        <f>+BOTICA!B42</f>
        <v>SERIE: FD894553- POS CONTACTLESS CHIP -  VAUCHER N° 0000255 -  OP: 828686</v>
      </c>
      <c r="D44" s="50">
        <f>+BOTICA!M42</f>
        <v>8</v>
      </c>
      <c r="E44" s="11"/>
      <c r="F44" s="49" t="str">
        <f>+BOTICA!C42</f>
        <v>008474519</v>
      </c>
      <c r="G44" s="51" t="str">
        <f>+BOTICA!A42</f>
        <v>4519-828686</v>
      </c>
      <c r="H44" s="49" t="str">
        <f>+BOTICA!H42</f>
        <v>18:43:45</v>
      </c>
      <c r="I44" s="49" t="str">
        <f>+BOTICA!R42</f>
        <v>0137</v>
      </c>
      <c r="J44" s="11"/>
      <c r="K44" s="49" t="str">
        <f t="shared" si="0"/>
        <v>4519-828686</v>
      </c>
      <c r="L44" s="49" t="str">
        <f t="shared" si="1"/>
        <v>4519-828686 -SERIE: FD894553- POS CONTACTLESS CHIP -  VAUCHER N° 0000255 -  OP: 828686</v>
      </c>
      <c r="M44" s="5"/>
    </row>
    <row r="45" spans="2:13" x14ac:dyDescent="0.25">
      <c r="B45" s="48" t="str">
        <f>+BOTICA!G43</f>
        <v>30/01/2026</v>
      </c>
      <c r="C45" s="49" t="str">
        <f>+BOTICA!B43</f>
        <v>SERIE: FD894553- POS CONTACTLESS CHIP -  VAUCHER N° 0000253 -  OP: 765949</v>
      </c>
      <c r="D45" s="50">
        <f>+BOTICA!M43</f>
        <v>30</v>
      </c>
      <c r="E45" s="11"/>
      <c r="F45" s="49" t="str">
        <f>+BOTICA!C43</f>
        <v>008474519</v>
      </c>
      <c r="G45" s="51" t="str">
        <f>+BOTICA!A43</f>
        <v>4519-765949</v>
      </c>
      <c r="H45" s="49" t="str">
        <f>+BOTICA!H43</f>
        <v>18:28:42</v>
      </c>
      <c r="I45" s="49" t="str">
        <f>+BOTICA!R43</f>
        <v>0137</v>
      </c>
      <c r="J45" s="11"/>
      <c r="K45" s="49" t="str">
        <f t="shared" si="0"/>
        <v>4519-765949</v>
      </c>
      <c r="L45" s="49" t="str">
        <f t="shared" si="1"/>
        <v>4519-765949 -SERIE: FD894553- POS CONTACTLESS CHIP -  VAUCHER N° 0000253 -  OP: 765949</v>
      </c>
      <c r="M45" s="5"/>
    </row>
    <row r="46" spans="2:13" x14ac:dyDescent="0.25">
      <c r="B46" s="48" t="str">
        <f>+BOTICA!G44</f>
        <v>30/01/2026</v>
      </c>
      <c r="C46" s="49" t="str">
        <f>+BOTICA!B44</f>
        <v>SERIE: FD894553- POS CONTACTLESS CHIP -  VAUCHER N° 0000248 -  OP: 020775</v>
      </c>
      <c r="D46" s="50">
        <f>+BOTICA!M44</f>
        <v>110</v>
      </c>
      <c r="E46" s="11"/>
      <c r="F46" s="49" t="str">
        <f>+BOTICA!C44</f>
        <v>008474519</v>
      </c>
      <c r="G46" s="51" t="str">
        <f>+BOTICA!A44</f>
        <v>4519-020775</v>
      </c>
      <c r="H46" s="49" t="str">
        <f>+BOTICA!H44</f>
        <v>14:55:10</v>
      </c>
      <c r="I46" s="49" t="str">
        <f>+BOTICA!R44</f>
        <v>0137</v>
      </c>
      <c r="J46" s="11"/>
      <c r="K46" s="49" t="str">
        <f t="shared" si="0"/>
        <v>4519-020775</v>
      </c>
      <c r="L46" s="49" t="str">
        <f t="shared" si="1"/>
        <v>4519-020775 -SERIE: FD894553- POS CONTACTLESS CHIP -  VAUCHER N° 0000248 -  OP: 020775</v>
      </c>
      <c r="M46" s="5"/>
    </row>
    <row r="47" spans="2:13" x14ac:dyDescent="0.25">
      <c r="B47" s="48" t="str">
        <f>+BOTICA!G45</f>
        <v>31/01/2026</v>
      </c>
      <c r="C47" s="49" t="str">
        <f>+BOTICA!B45</f>
        <v>SERIE: MPP002LL3- POS QR -  VAUCHER N° 4020144 -  OP: 206533</v>
      </c>
      <c r="D47" s="50">
        <f>+BOTICA!M45</f>
        <v>67.5</v>
      </c>
      <c r="E47" s="11"/>
      <c r="F47" s="49" t="str">
        <f>+BOTICA!C45</f>
        <v>008474519</v>
      </c>
      <c r="G47" s="51" t="str">
        <f>+BOTICA!A45</f>
        <v>4519-206533</v>
      </c>
      <c r="H47" s="49" t="str">
        <f>+BOTICA!H45</f>
        <v>14:18:22</v>
      </c>
      <c r="I47" s="49" t="str">
        <f>+BOTICA!R45</f>
        <v>0138</v>
      </c>
      <c r="J47" s="11"/>
      <c r="K47" s="49" t="str">
        <f t="shared" si="0"/>
        <v>4519-206533</v>
      </c>
      <c r="L47" s="49" t="str">
        <f t="shared" si="1"/>
        <v>4519-206533 -SERIE: MPP002LL3- POS QR -  VAUCHER N° 4020144 -  OP: 206533</v>
      </c>
      <c r="M47" s="5"/>
    </row>
    <row r="48" spans="2:13" x14ac:dyDescent="0.25">
      <c r="B48" s="48" t="str">
        <f>+BOTICA!G46</f>
        <v>31/01/2026</v>
      </c>
      <c r="C48" s="49" t="str">
        <f>+BOTICA!B46</f>
        <v>SERIE: MPP002LL3- POS QR -  VAUCHER N° 4002275 -  OP: 317145</v>
      </c>
      <c r="D48" s="50">
        <f>+BOTICA!M46</f>
        <v>102</v>
      </c>
      <c r="E48" s="11"/>
      <c r="F48" s="49" t="str">
        <f>+BOTICA!C46</f>
        <v>008474519</v>
      </c>
      <c r="G48" s="51" t="str">
        <f>+BOTICA!A46</f>
        <v>4519-317145</v>
      </c>
      <c r="H48" s="49" t="str">
        <f>+BOTICA!H46</f>
        <v>14:01:42</v>
      </c>
      <c r="I48" s="49" t="str">
        <f>+BOTICA!R46</f>
        <v>0138</v>
      </c>
      <c r="J48" s="11"/>
      <c r="K48" s="49" t="str">
        <f t="shared" si="0"/>
        <v>4519-317145</v>
      </c>
      <c r="L48" s="49" t="str">
        <f t="shared" si="1"/>
        <v>4519-317145 -SERIE: MPP002LL3- POS QR -  VAUCHER N° 4002275 -  OP: 317145</v>
      </c>
      <c r="M48" s="5"/>
    </row>
    <row r="49" spans="2:13" x14ac:dyDescent="0.25">
      <c r="B49" s="48" t="str">
        <f>+BOTICA!G47</f>
        <v>31/01/2026</v>
      </c>
      <c r="C49" s="49" t="str">
        <f>+BOTICA!B47</f>
        <v>SERIE: MPP002LL3- POS QR -  VAUCHER N° 4038057 -  OP: 038154</v>
      </c>
      <c r="D49" s="50">
        <f>+BOTICA!M47</f>
        <v>135.16999999999999</v>
      </c>
      <c r="E49" s="11"/>
      <c r="F49" s="49" t="str">
        <f>+BOTICA!C47</f>
        <v>008474519</v>
      </c>
      <c r="G49" s="51" t="str">
        <f>+BOTICA!A47</f>
        <v>4519-038154</v>
      </c>
      <c r="H49" s="49" t="str">
        <f>+BOTICA!H47</f>
        <v>14:35:08</v>
      </c>
      <c r="I49" s="49" t="str">
        <f>+BOTICA!R47</f>
        <v>0138</v>
      </c>
      <c r="J49" s="11"/>
      <c r="K49" s="49" t="str">
        <f t="shared" si="0"/>
        <v>4519-038154</v>
      </c>
      <c r="L49" s="49" t="str">
        <f t="shared" si="1"/>
        <v>4519-038154 -SERIE: MPP002LL3- POS QR -  VAUCHER N° 4038057 -  OP: 038154</v>
      </c>
      <c r="M49" s="5"/>
    </row>
    <row r="50" spans="2:13" x14ac:dyDescent="0.25">
      <c r="B50" s="48" t="str">
        <f>+BOTICA!G48</f>
        <v>31/01/2026</v>
      </c>
      <c r="C50" s="49" t="str">
        <f>+BOTICA!B48</f>
        <v>SERIE: MPP002LL3- POS QR -  VAUCHER N° 4048044 -  OP: 392681</v>
      </c>
      <c r="D50" s="50">
        <f>+BOTICA!M48</f>
        <v>84.16</v>
      </c>
      <c r="E50" s="11"/>
      <c r="F50" s="49" t="str">
        <f>+BOTICA!C48</f>
        <v>008474519</v>
      </c>
      <c r="G50" s="51" t="str">
        <f>+BOTICA!A48</f>
        <v>4519-392681</v>
      </c>
      <c r="H50" s="49" t="str">
        <f>+BOTICA!H48</f>
        <v>14:44:37</v>
      </c>
      <c r="I50" s="49" t="str">
        <f>+BOTICA!R48</f>
        <v>0138</v>
      </c>
      <c r="J50" s="11"/>
      <c r="K50" s="49" t="str">
        <f t="shared" si="0"/>
        <v>4519-392681</v>
      </c>
      <c r="L50" s="49" t="str">
        <f t="shared" si="1"/>
        <v>4519-392681 -SERIE: MPP002LL3- POS QR -  VAUCHER N° 4048044 -  OP: 392681</v>
      </c>
      <c r="M50" s="5"/>
    </row>
    <row r="51" spans="2:13" x14ac:dyDescent="0.25">
      <c r="B51" s="48" t="str">
        <f>+BOTICA!G49</f>
        <v>31/01/2026</v>
      </c>
      <c r="C51" s="49" t="str">
        <f>+BOTICA!B49</f>
        <v>SERIE: FD894553- POS QR -  VAUCHER N° 0000265 -  OP: 063543</v>
      </c>
      <c r="D51" s="50">
        <f>+BOTICA!M49</f>
        <v>129.63</v>
      </c>
      <c r="E51" s="11"/>
      <c r="F51" s="49" t="str">
        <f>+BOTICA!C49</f>
        <v>008474519</v>
      </c>
      <c r="G51" s="51" t="str">
        <f>+BOTICA!A49</f>
        <v>4519-063543</v>
      </c>
      <c r="H51" s="49" t="str">
        <f>+BOTICA!H49</f>
        <v>13:14:07</v>
      </c>
      <c r="I51" s="49" t="str">
        <f>+BOTICA!R49</f>
        <v>0138</v>
      </c>
      <c r="J51" s="11"/>
      <c r="K51" s="49" t="str">
        <f t="shared" si="0"/>
        <v>4519-063543</v>
      </c>
      <c r="L51" s="49" t="str">
        <f t="shared" si="1"/>
        <v>4519-063543 -SERIE: FD894553- POS QR -  VAUCHER N° 0000265 -  OP: 063543</v>
      </c>
      <c r="M51" s="5"/>
    </row>
    <row r="52" spans="2:13" x14ac:dyDescent="0.25">
      <c r="B52" s="48" t="str">
        <f>+BOTICA!G50</f>
        <v>31/01/2026</v>
      </c>
      <c r="C52" s="49" t="str">
        <f>+BOTICA!B50</f>
        <v>SERIE: FD894553- POS CHIP EMV -  VAUCHER N° 0000262 -  OP: 630638</v>
      </c>
      <c r="D52" s="50">
        <f>+BOTICA!M50</f>
        <v>32.299999999999997</v>
      </c>
      <c r="E52" s="11"/>
      <c r="F52" s="49" t="str">
        <f>+BOTICA!C50</f>
        <v>008474519</v>
      </c>
      <c r="G52" s="51" t="str">
        <f>+BOTICA!A50</f>
        <v>4519-630638</v>
      </c>
      <c r="H52" s="49" t="str">
        <f>+BOTICA!H50</f>
        <v>12:26:34</v>
      </c>
      <c r="I52" s="49" t="str">
        <f>+BOTICA!R50</f>
        <v>0138</v>
      </c>
      <c r="J52" s="11"/>
      <c r="K52" s="49" t="str">
        <f t="shared" si="0"/>
        <v>4519-630638</v>
      </c>
      <c r="L52" s="49" t="str">
        <f t="shared" si="1"/>
        <v>4519-630638 -SERIE: FD894553- POS CHIP EMV -  VAUCHER N° 0000262 -  OP: 630638</v>
      </c>
      <c r="M52" s="5"/>
    </row>
    <row r="53" spans="2:13" x14ac:dyDescent="0.25">
      <c r="B53" s="48" t="str">
        <f>+BOTICA!G51</f>
        <v>FECHA DE TRANSACCION</v>
      </c>
      <c r="C53" s="49" t="str">
        <f>+BOTICA!B51</f>
        <v>SERIE: SERIE TERMINAL- TIPO DE CAPTURA -  VAUCHER N° NUM DE REF (VOUCHER) -  OP: CODIGO DE AUTORIZACION</v>
      </c>
      <c r="D53" s="50" t="str">
        <f>+BOTICA!M51</f>
        <v>IMPORTE</v>
      </c>
      <c r="E53" s="11"/>
      <c r="F53" s="49" t="str">
        <f>+BOTICA!C51</f>
        <v>CODIGO</v>
      </c>
      <c r="G53" s="51" t="str">
        <f>+BOTICA!A51</f>
        <v>DIGO-CODIGO DE AUTORIZACION</v>
      </c>
      <c r="H53" s="49" t="str">
        <f>+BOTICA!H51</f>
        <v>HORA DE TRANSACCION</v>
      </c>
      <c r="I53" s="49" t="str">
        <f>+BOTICA!R51</f>
        <v>NUM DE LOTE</v>
      </c>
      <c r="J53" s="11"/>
      <c r="K53" s="49" t="str">
        <f t="shared" si="0"/>
        <v>DIGO-CODIGO DE AUTORIZACION</v>
      </c>
      <c r="L53" s="49" t="str">
        <f t="shared" si="1"/>
        <v>DIGO-CODIGO DE AUTORIZACION -SERIE: SERIE TERMINAL- TIPO DE CAPTURA -  VAUCHER N° NUM DE REF (VOUCHER) -  OP: CODIGO DE AUTORIZACION</v>
      </c>
      <c r="M53" s="5"/>
    </row>
    <row r="54" spans="2:13" x14ac:dyDescent="0.25">
      <c r="B54" s="48" t="str">
        <f>+BOTICA!G52</f>
        <v>02/01/2026</v>
      </c>
      <c r="C54" s="49" t="str">
        <f>+BOTICA!B52</f>
        <v>SERIE: FD8B1473- POS CONTACTLESS CHIP -  VAUCHER N° 0000242 -  OP: 057127</v>
      </c>
      <c r="D54" s="50">
        <f>+BOTICA!M52</f>
        <v>304.5</v>
      </c>
      <c r="E54" s="11"/>
      <c r="F54" s="49" t="str">
        <f>+BOTICA!C52</f>
        <v>008426659</v>
      </c>
      <c r="G54" s="51" t="str">
        <f>+BOTICA!A52</f>
        <v>6659-057127</v>
      </c>
      <c r="H54" s="49" t="str">
        <f>+BOTICA!H52</f>
        <v>18:04:35</v>
      </c>
      <c r="I54" s="49" t="str">
        <f>+BOTICA!R52</f>
        <v>0044</v>
      </c>
      <c r="J54" s="11"/>
      <c r="K54" s="49" t="str">
        <f t="shared" si="0"/>
        <v>6659-057127</v>
      </c>
      <c r="L54" s="49" t="str">
        <f t="shared" si="1"/>
        <v>6659-057127 -SERIE: FD8B1473- POS CONTACTLESS CHIP -  VAUCHER N° 0000242 -  OP: 057127</v>
      </c>
      <c r="M54" s="5"/>
    </row>
    <row r="55" spans="2:13" x14ac:dyDescent="0.25">
      <c r="B55" s="48" t="str">
        <f>+BOTICA!G53</f>
        <v>02/01/2026</v>
      </c>
      <c r="C55" s="49" t="str">
        <f>+BOTICA!B53</f>
        <v>SERIE: FD8B1473- POS CONTACTLESS CHIP -  VAUCHER N° 0000240 -  OP: 203361</v>
      </c>
      <c r="D55" s="50">
        <f>+BOTICA!M53</f>
        <v>585</v>
      </c>
      <c r="E55" s="11"/>
      <c r="F55" s="49" t="str">
        <f>+BOTICA!C53</f>
        <v>008426659</v>
      </c>
      <c r="G55" s="51" t="str">
        <f>+BOTICA!A53</f>
        <v>6659-203361</v>
      </c>
      <c r="H55" s="49" t="str">
        <f>+BOTICA!H53</f>
        <v>14:31:21</v>
      </c>
      <c r="I55" s="49" t="str">
        <f>+BOTICA!R53</f>
        <v>0044</v>
      </c>
      <c r="J55" s="11"/>
      <c r="K55" s="49" t="str">
        <f t="shared" si="0"/>
        <v>6659-203361</v>
      </c>
      <c r="L55" s="49" t="str">
        <f t="shared" si="1"/>
        <v>6659-203361 -SERIE: FD8B1473- POS CONTACTLESS CHIP -  VAUCHER N° 0000240 -  OP: 203361</v>
      </c>
      <c r="M55" s="5"/>
    </row>
    <row r="56" spans="2:13" x14ac:dyDescent="0.25">
      <c r="B56" s="48" t="str">
        <f>+BOTICA!G54</f>
        <v>05/01/2026</v>
      </c>
      <c r="C56" s="49" t="str">
        <f>+BOTICA!B54</f>
        <v>SERIE: PAYZEN- POS VIRTUAL -  VAUCHER N° 5888416 -  OP: 124954</v>
      </c>
      <c r="D56" s="50">
        <f>+BOTICA!M54</f>
        <v>453.51</v>
      </c>
      <c r="E56" s="11"/>
      <c r="F56" s="49" t="str">
        <f>+BOTICA!C54</f>
        <v>008426659</v>
      </c>
      <c r="G56" s="51" t="str">
        <f>+BOTICA!A54</f>
        <v>6659-124954</v>
      </c>
      <c r="H56" s="49" t="str">
        <f>+BOTICA!H54</f>
        <v>14:12:40</v>
      </c>
      <c r="I56" s="49">
        <f>+BOTICA!R54</f>
        <v>0</v>
      </c>
      <c r="J56" s="11"/>
      <c r="K56" s="49" t="str">
        <f t="shared" si="0"/>
        <v>6659-124954</v>
      </c>
      <c r="L56" s="49" t="str">
        <f t="shared" si="1"/>
        <v>6659-124954 -SERIE: PAYZEN- POS VIRTUAL -  VAUCHER N° 5888416 -  OP: 124954</v>
      </c>
      <c r="M56" s="5"/>
    </row>
    <row r="57" spans="2:13" x14ac:dyDescent="0.25">
      <c r="B57" s="48" t="str">
        <f>+BOTICA!G55</f>
        <v>05/01/2026</v>
      </c>
      <c r="C57" s="49" t="str">
        <f>+BOTICA!B55</f>
        <v>SERIE: PAYZEN- POS VIRTUAL -  VAUCHER N° 5766028 -  OP: 002444</v>
      </c>
      <c r="D57" s="50">
        <f>+BOTICA!M55</f>
        <v>675.05</v>
      </c>
      <c r="E57" s="11"/>
      <c r="F57" s="49" t="str">
        <f>+BOTICA!C55</f>
        <v>008426659</v>
      </c>
      <c r="G57" s="51" t="str">
        <f>+BOTICA!A55</f>
        <v>6659-002444</v>
      </c>
      <c r="H57" s="49" t="str">
        <f>+BOTICA!H55</f>
        <v>16:40:31</v>
      </c>
      <c r="I57" s="49">
        <f>+BOTICA!R55</f>
        <v>0</v>
      </c>
      <c r="J57" s="11"/>
      <c r="K57" s="49" t="str">
        <f t="shared" si="0"/>
        <v>6659-002444</v>
      </c>
      <c r="L57" s="49" t="str">
        <f t="shared" si="1"/>
        <v>6659-002444 -SERIE: PAYZEN- POS VIRTUAL -  VAUCHER N° 5766028 -  OP: 002444</v>
      </c>
      <c r="M57" s="5"/>
    </row>
    <row r="58" spans="2:13" x14ac:dyDescent="0.25">
      <c r="B58" s="48" t="str">
        <f>+BOTICA!G56</f>
        <v>05/01/2026</v>
      </c>
      <c r="C58" s="49" t="str">
        <f>+BOTICA!B56</f>
        <v>SERIE: PAYZEN- POS VIRTUAL -  VAUCHER N° 5304974 -  OP: 007835</v>
      </c>
      <c r="D58" s="50">
        <f>+BOTICA!M56</f>
        <v>243</v>
      </c>
      <c r="E58" s="11"/>
      <c r="F58" s="49" t="str">
        <f>+BOTICA!C56</f>
        <v>008426659</v>
      </c>
      <c r="G58" s="51" t="str">
        <f>+BOTICA!A56</f>
        <v>6659-007835</v>
      </c>
      <c r="H58" s="49" t="str">
        <f>+BOTICA!H56</f>
        <v>11:19:45</v>
      </c>
      <c r="I58" s="49">
        <f>+BOTICA!R56</f>
        <v>0</v>
      </c>
      <c r="J58" s="11"/>
      <c r="K58" s="49" t="str">
        <f t="shared" si="0"/>
        <v>6659-007835</v>
      </c>
      <c r="L58" s="49" t="str">
        <f t="shared" si="1"/>
        <v>6659-007835 -SERIE: PAYZEN- POS VIRTUAL -  VAUCHER N° 5304974 -  OP: 007835</v>
      </c>
      <c r="M58" s="5"/>
    </row>
    <row r="59" spans="2:13" x14ac:dyDescent="0.25">
      <c r="B59" s="48" t="str">
        <f>+BOTICA!G57</f>
        <v>06/01/2026</v>
      </c>
      <c r="C59" s="49" t="str">
        <f>+BOTICA!B57</f>
        <v>SERIE: MPP002LL3- POS QR -  VAUCHER N° 1011782 -  OP: 912347</v>
      </c>
      <c r="D59" s="50">
        <f>+BOTICA!M57</f>
        <v>243</v>
      </c>
      <c r="E59" s="11"/>
      <c r="F59" s="49" t="str">
        <f>+BOTICA!C57</f>
        <v>008426659</v>
      </c>
      <c r="G59" s="51" t="str">
        <f>+BOTICA!A57</f>
        <v>6659-912347</v>
      </c>
      <c r="H59" s="49" t="str">
        <f>+BOTICA!H57</f>
        <v>11:19:17</v>
      </c>
      <c r="I59" s="49" t="str">
        <f>+BOTICA!R57</f>
        <v>0045</v>
      </c>
      <c r="J59" s="11"/>
      <c r="K59" s="49" t="str">
        <f t="shared" si="0"/>
        <v>6659-912347</v>
      </c>
      <c r="L59" s="49" t="str">
        <f t="shared" si="1"/>
        <v>6659-912347 -SERIE: MPP002LL3- POS QR -  VAUCHER N° 1011782 -  OP: 912347</v>
      </c>
      <c r="M59" s="5"/>
    </row>
    <row r="60" spans="2:13" x14ac:dyDescent="0.25">
      <c r="B60" s="48" t="str">
        <f>+BOTICA!G58</f>
        <v>06/01/2026</v>
      </c>
      <c r="C60" s="49" t="str">
        <f>+BOTICA!B58</f>
        <v>SERIE: MPP002LL3- POS QR -  VAUCHER N° 7038376 -  OP: 492300</v>
      </c>
      <c r="D60" s="50">
        <f>+BOTICA!M58</f>
        <v>72</v>
      </c>
      <c r="E60" s="11"/>
      <c r="F60" s="49" t="str">
        <f>+BOTICA!C58</f>
        <v>008426659</v>
      </c>
      <c r="G60" s="51" t="str">
        <f>+BOTICA!A58</f>
        <v>6659-492300</v>
      </c>
      <c r="H60" s="49" t="str">
        <f>+BOTICA!H58</f>
        <v>17:51:44</v>
      </c>
      <c r="I60" s="49" t="str">
        <f>+BOTICA!R58</f>
        <v>0045</v>
      </c>
      <c r="J60" s="11"/>
      <c r="K60" s="49" t="str">
        <f t="shared" si="0"/>
        <v>6659-492300</v>
      </c>
      <c r="L60" s="49" t="str">
        <f t="shared" si="1"/>
        <v>6659-492300 -SERIE: MPP002LL3- POS QR -  VAUCHER N° 7038376 -  OP: 492300</v>
      </c>
      <c r="M60" s="5"/>
    </row>
    <row r="61" spans="2:13" x14ac:dyDescent="0.25">
      <c r="B61" s="48" t="str">
        <f>+BOTICA!G59</f>
        <v>06/01/2026</v>
      </c>
      <c r="C61" s="49" t="str">
        <f>+BOTICA!B59</f>
        <v>SERIE: PAYZEN- POS VIRTUAL -  VAUCHER N° 6189864 -  OP: 435885</v>
      </c>
      <c r="D61" s="50">
        <f>+BOTICA!M59</f>
        <v>282</v>
      </c>
      <c r="E61" s="11"/>
      <c r="F61" s="49" t="str">
        <f>+BOTICA!C59</f>
        <v>008426659</v>
      </c>
      <c r="G61" s="51" t="str">
        <f>+BOTICA!A59</f>
        <v>6659-435885</v>
      </c>
      <c r="H61" s="49" t="str">
        <f>+BOTICA!H59</f>
        <v>10:18:06</v>
      </c>
      <c r="I61" s="49">
        <f>+BOTICA!R59</f>
        <v>0</v>
      </c>
      <c r="J61" s="11"/>
      <c r="K61" s="49" t="str">
        <f t="shared" si="0"/>
        <v>6659-435885</v>
      </c>
      <c r="L61" s="49" t="str">
        <f t="shared" si="1"/>
        <v>6659-435885 -SERIE: PAYZEN- POS VIRTUAL -  VAUCHER N° 6189864 -  OP: 435885</v>
      </c>
      <c r="M61" s="5"/>
    </row>
    <row r="62" spans="2:13" x14ac:dyDescent="0.25">
      <c r="B62" s="48" t="str">
        <f>+BOTICA!G60</f>
        <v>07/01/2026</v>
      </c>
      <c r="C62" s="49" t="str">
        <f>+BOTICA!B60</f>
        <v>SERIE: FD8B1473- POS CHIP EMV -  VAUCHER N° 0000256 -  OP: 205491</v>
      </c>
      <c r="D62" s="50">
        <f>+BOTICA!M60</f>
        <v>180</v>
      </c>
      <c r="E62" s="11"/>
      <c r="F62" s="49" t="str">
        <f>+BOTICA!C60</f>
        <v>008426659</v>
      </c>
      <c r="G62" s="51" t="str">
        <f>+BOTICA!A60</f>
        <v>6659-205491</v>
      </c>
      <c r="H62" s="49" t="str">
        <f>+BOTICA!H60</f>
        <v>14:49:27</v>
      </c>
      <c r="I62" s="49" t="str">
        <f>+BOTICA!R60</f>
        <v>0046</v>
      </c>
      <c r="J62" s="11"/>
      <c r="K62" s="49" t="str">
        <f t="shared" si="0"/>
        <v>6659-205491</v>
      </c>
      <c r="L62" s="49" t="str">
        <f t="shared" si="1"/>
        <v>6659-205491 -SERIE: FD8B1473- POS CHIP EMV -  VAUCHER N° 0000256 -  OP: 205491</v>
      </c>
      <c r="M62" s="5"/>
    </row>
    <row r="63" spans="2:13" x14ac:dyDescent="0.25">
      <c r="B63" s="48" t="str">
        <f>+BOTICA!G61</f>
        <v>08/01/2026</v>
      </c>
      <c r="C63" s="49" t="str">
        <f>+BOTICA!B61</f>
        <v>SERIE: FD8B1473- POS CONTACTLESS CHIP -  VAUCHER N° 0000262 -  OP: 133558</v>
      </c>
      <c r="D63" s="50">
        <f>+BOTICA!M61</f>
        <v>64.8</v>
      </c>
      <c r="E63" s="11"/>
      <c r="F63" s="49" t="str">
        <f>+BOTICA!C61</f>
        <v>008426659</v>
      </c>
      <c r="G63" s="51" t="str">
        <f>+BOTICA!A61</f>
        <v>6659-133558</v>
      </c>
      <c r="H63" s="49" t="str">
        <f>+BOTICA!H61</f>
        <v>18:12:42</v>
      </c>
      <c r="I63" s="49" t="str">
        <f>+BOTICA!R61</f>
        <v>0047</v>
      </c>
      <c r="J63" s="11"/>
      <c r="K63" s="49" t="str">
        <f t="shared" si="0"/>
        <v>6659-133558</v>
      </c>
      <c r="L63" s="49" t="str">
        <f t="shared" si="1"/>
        <v>6659-133558 -SERIE: FD8B1473- POS CONTACTLESS CHIP -  VAUCHER N° 0000262 -  OP: 133558</v>
      </c>
      <c r="M63" s="5"/>
    </row>
    <row r="64" spans="2:13" x14ac:dyDescent="0.25">
      <c r="B64" s="48" t="str">
        <f>+BOTICA!G62</f>
        <v>09/01/2026</v>
      </c>
      <c r="C64" s="49" t="str">
        <f>+BOTICA!B62</f>
        <v>SERIE: FD8B1473- POS CONTACTLESS CHIP -  VAUCHER N° 0000267 -  OP: R09003</v>
      </c>
      <c r="D64" s="50">
        <f>+BOTICA!M62</f>
        <v>80</v>
      </c>
      <c r="E64" s="11"/>
      <c r="F64" s="49" t="str">
        <f>+BOTICA!C62</f>
        <v>008426659</v>
      </c>
      <c r="G64" s="51" t="str">
        <f>+BOTICA!A62</f>
        <v>6659-R09003</v>
      </c>
      <c r="H64" s="49" t="str">
        <f>+BOTICA!H62</f>
        <v>16:35:21</v>
      </c>
      <c r="I64" s="49" t="str">
        <f>+BOTICA!R62</f>
        <v>0048</v>
      </c>
      <c r="J64" s="11"/>
      <c r="K64" s="49" t="str">
        <f t="shared" si="0"/>
        <v>6659-R09003</v>
      </c>
      <c r="L64" s="49" t="str">
        <f t="shared" si="1"/>
        <v>6659-R09003 -SERIE: FD8B1473- POS CONTACTLESS CHIP -  VAUCHER N° 0000267 -  OP: R09003</v>
      </c>
      <c r="M64" s="5"/>
    </row>
    <row r="65" spans="2:13" x14ac:dyDescent="0.25">
      <c r="B65" s="48" t="str">
        <f>+BOTICA!G63</f>
        <v>09/01/2026</v>
      </c>
      <c r="C65" s="49" t="str">
        <f>+BOTICA!B63</f>
        <v>SERIE: PAYZEN- POS VIRTUAL -  VAUCHER N° 9202732 -  OP: 253249</v>
      </c>
      <c r="D65" s="50">
        <f>+BOTICA!M63</f>
        <v>90</v>
      </c>
      <c r="E65" s="11"/>
      <c r="F65" s="49" t="str">
        <f>+BOTICA!C63</f>
        <v>008426659</v>
      </c>
      <c r="G65" s="51" t="str">
        <f>+BOTICA!A63</f>
        <v>6659-253249</v>
      </c>
      <c r="H65" s="49" t="str">
        <f>+BOTICA!H63</f>
        <v>12:25:23</v>
      </c>
      <c r="I65" s="49">
        <f>+BOTICA!R63</f>
        <v>0</v>
      </c>
      <c r="J65" s="11"/>
      <c r="K65" s="49" t="str">
        <f t="shared" si="0"/>
        <v>6659-253249</v>
      </c>
      <c r="L65" s="49" t="str">
        <f t="shared" si="1"/>
        <v>6659-253249 -SERIE: PAYZEN- POS VIRTUAL -  VAUCHER N° 9202732 -  OP: 253249</v>
      </c>
      <c r="M65" s="5"/>
    </row>
    <row r="66" spans="2:13" x14ac:dyDescent="0.25">
      <c r="B66" s="48" t="str">
        <f>+BOTICA!G64</f>
        <v>13/01/2026</v>
      </c>
      <c r="C66" s="49" t="str">
        <f>+BOTICA!B64</f>
        <v>SERIE: PAYZEN- POS VIRTUAL -  VAUCHER N° 3603218 -  OP: 004683</v>
      </c>
      <c r="D66" s="50">
        <f>+BOTICA!M64</f>
        <v>355</v>
      </c>
      <c r="E66" s="11"/>
      <c r="F66" s="49" t="str">
        <f>+BOTICA!C64</f>
        <v>008426659</v>
      </c>
      <c r="G66" s="51" t="str">
        <f>+BOTICA!A64</f>
        <v>6659-004683</v>
      </c>
      <c r="H66" s="49" t="str">
        <f>+BOTICA!H64</f>
        <v>17:17:53</v>
      </c>
      <c r="I66" s="49">
        <f>+BOTICA!R64</f>
        <v>0</v>
      </c>
      <c r="J66" s="11"/>
      <c r="K66" s="49" t="str">
        <f t="shared" si="0"/>
        <v>6659-004683</v>
      </c>
      <c r="L66" s="49" t="str">
        <f t="shared" si="1"/>
        <v>6659-004683 -SERIE: PAYZEN- POS VIRTUAL -  VAUCHER N° 3603218 -  OP: 004683</v>
      </c>
      <c r="M66" s="5"/>
    </row>
    <row r="67" spans="2:13" x14ac:dyDescent="0.25">
      <c r="B67" s="48" t="str">
        <f>+BOTICA!G65</f>
        <v>14/01/2026</v>
      </c>
      <c r="C67" s="49" t="str">
        <f>+BOTICA!B65</f>
        <v>SERIE: PAYZEN- POS VIRTUAL -  VAUCHER N° 4563994 -  OP: 658720</v>
      </c>
      <c r="D67" s="50">
        <f>+BOTICA!M65</f>
        <v>121</v>
      </c>
      <c r="E67" s="11"/>
      <c r="F67" s="49" t="str">
        <f>+BOTICA!C65</f>
        <v>008426659</v>
      </c>
      <c r="G67" s="51" t="str">
        <f>+BOTICA!A65</f>
        <v>6659-658720</v>
      </c>
      <c r="H67" s="49" t="str">
        <f>+BOTICA!H65</f>
        <v>15:05:39</v>
      </c>
      <c r="I67" s="49">
        <f>+BOTICA!R65</f>
        <v>0</v>
      </c>
      <c r="J67" s="11"/>
      <c r="K67" s="49" t="str">
        <f t="shared" si="0"/>
        <v>6659-658720</v>
      </c>
      <c r="L67" s="49" t="str">
        <f t="shared" si="1"/>
        <v>6659-658720 -SERIE: PAYZEN- POS VIRTUAL -  VAUCHER N° 4563994 -  OP: 658720</v>
      </c>
      <c r="M67" s="5"/>
    </row>
    <row r="68" spans="2:13" x14ac:dyDescent="0.25">
      <c r="B68" s="48" t="str">
        <f>+BOTICA!G66</f>
        <v>14/01/2026</v>
      </c>
      <c r="C68" s="49" t="str">
        <f>+BOTICA!B66</f>
        <v>SERIE: PAYZEN- E-COMMERCE -  VAUCHER N° 5211509 -  OP: 340366</v>
      </c>
      <c r="D68" s="50">
        <f>+BOTICA!M66</f>
        <v>795.5</v>
      </c>
      <c r="E68" s="11"/>
      <c r="F68" s="49" t="str">
        <f>+BOTICA!C66</f>
        <v>008426659</v>
      </c>
      <c r="G68" s="51" t="str">
        <f>+BOTICA!A66</f>
        <v>6659-340366</v>
      </c>
      <c r="H68" s="49" t="str">
        <f>+BOTICA!H66</f>
        <v>21:35:19</v>
      </c>
      <c r="I68" s="49">
        <f>+BOTICA!R66</f>
        <v>0</v>
      </c>
      <c r="J68" s="11"/>
      <c r="K68" s="49" t="str">
        <f t="shared" si="0"/>
        <v>6659-340366</v>
      </c>
      <c r="L68" s="49" t="str">
        <f t="shared" si="1"/>
        <v>6659-340366 -SERIE: PAYZEN- E-COMMERCE -  VAUCHER N° 5211509 -  OP: 340366</v>
      </c>
      <c r="M68" s="5"/>
    </row>
    <row r="69" spans="2:13" x14ac:dyDescent="0.25">
      <c r="B69" s="48" t="str">
        <f>+BOTICA!G67</f>
        <v>15/01/2026</v>
      </c>
      <c r="C69" s="49" t="str">
        <f>+BOTICA!B67</f>
        <v>SERIE: PAYZEN- POS VIRTUAL -  VAUCHER N° 5969104 -  OP: 003016</v>
      </c>
      <c r="D69" s="50">
        <f>+BOTICA!M67</f>
        <v>192.5</v>
      </c>
      <c r="E69" s="11"/>
      <c r="F69" s="49" t="str">
        <f>+BOTICA!C67</f>
        <v>008426659</v>
      </c>
      <c r="G69" s="51" t="str">
        <f>+BOTICA!A67</f>
        <v>6659-003016</v>
      </c>
      <c r="H69" s="49" t="str">
        <f>+BOTICA!H67</f>
        <v>13:54:20</v>
      </c>
      <c r="I69" s="49">
        <f>+BOTICA!R67</f>
        <v>0</v>
      </c>
      <c r="J69" s="11"/>
      <c r="K69" s="49" t="str">
        <f t="shared" ref="K69:K123" si="2">CONCATENATE(,G69)</f>
        <v>6659-003016</v>
      </c>
      <c r="L69" s="49" t="str">
        <f t="shared" ref="L69:L123" si="3">CONCATENATE(K69," -",C69)</f>
        <v>6659-003016 -SERIE: PAYZEN- POS VIRTUAL -  VAUCHER N° 5969104 -  OP: 003016</v>
      </c>
      <c r="M69" s="5"/>
    </row>
    <row r="70" spans="2:13" x14ac:dyDescent="0.25">
      <c r="B70" s="48" t="str">
        <f>+BOTICA!G68</f>
        <v>15/01/2026</v>
      </c>
      <c r="C70" s="49" t="str">
        <f>+BOTICA!B68</f>
        <v>SERIE: PAYZEN- POS VIRTUAL -  VAUCHER N° 5773799 -  OP: 004687</v>
      </c>
      <c r="D70" s="50">
        <f>+BOTICA!M68</f>
        <v>195.65</v>
      </c>
      <c r="E70" s="11"/>
      <c r="F70" s="49" t="str">
        <f>+BOTICA!C68</f>
        <v>008426659</v>
      </c>
      <c r="G70" s="51" t="str">
        <f>+BOTICA!A68</f>
        <v>6659-004687</v>
      </c>
      <c r="H70" s="49" t="str">
        <f>+BOTICA!H68</f>
        <v>15:01:05</v>
      </c>
      <c r="I70" s="49">
        <f>+BOTICA!R68</f>
        <v>0</v>
      </c>
      <c r="J70" s="11"/>
      <c r="K70" s="49" t="str">
        <f t="shared" si="2"/>
        <v>6659-004687</v>
      </c>
      <c r="L70" s="49" t="str">
        <f t="shared" si="3"/>
        <v>6659-004687 -SERIE: PAYZEN- POS VIRTUAL -  VAUCHER N° 5773799 -  OP: 004687</v>
      </c>
      <c r="M70" s="5"/>
    </row>
    <row r="71" spans="2:13" x14ac:dyDescent="0.25">
      <c r="B71" s="48" t="str">
        <f>+BOTICA!G69</f>
        <v>15/01/2026</v>
      </c>
      <c r="C71" s="49" t="str">
        <f>+BOTICA!B69</f>
        <v>SERIE: PAYZEN- POS VIRTUAL -  VAUCHER N° 5883340 -  OP: 000894</v>
      </c>
      <c r="D71" s="50">
        <f>+BOTICA!M69</f>
        <v>255</v>
      </c>
      <c r="E71" s="11"/>
      <c r="F71" s="49" t="str">
        <f>+BOTICA!C69</f>
        <v>008426659</v>
      </c>
      <c r="G71" s="51" t="str">
        <f>+BOTICA!A69</f>
        <v>6659-000894</v>
      </c>
      <c r="H71" s="49" t="str">
        <f>+BOTICA!H69</f>
        <v>15:30:09</v>
      </c>
      <c r="I71" s="49">
        <f>+BOTICA!R69</f>
        <v>0</v>
      </c>
      <c r="J71" s="11"/>
      <c r="K71" s="49" t="str">
        <f t="shared" si="2"/>
        <v>6659-000894</v>
      </c>
      <c r="L71" s="49" t="str">
        <f t="shared" si="3"/>
        <v>6659-000894 -SERIE: PAYZEN- POS VIRTUAL -  VAUCHER N° 5883340 -  OP: 000894</v>
      </c>
      <c r="M71" s="5"/>
    </row>
    <row r="72" spans="2:13" x14ac:dyDescent="0.25">
      <c r="B72" s="48" t="str">
        <f>+BOTICA!G70</f>
        <v>16/01/2026</v>
      </c>
      <c r="C72" s="49" t="str">
        <f>+BOTICA!B70</f>
        <v>SERIE: FD8B1473- POS CHIP EMV -  VAUCHER N° 0000278 -  OP: 492343</v>
      </c>
      <c r="D72" s="50">
        <f>+BOTICA!M70</f>
        <v>125.25</v>
      </c>
      <c r="E72" s="11"/>
      <c r="F72" s="49" t="str">
        <f>+BOTICA!C70</f>
        <v>008426659</v>
      </c>
      <c r="G72" s="51" t="str">
        <f>+BOTICA!A70</f>
        <v>6659-492343</v>
      </c>
      <c r="H72" s="49" t="str">
        <f>+BOTICA!H70</f>
        <v>16:49:26</v>
      </c>
      <c r="I72" s="49" t="str">
        <f>+BOTICA!R70</f>
        <v>0049</v>
      </c>
      <c r="J72" s="11"/>
      <c r="K72" s="49" t="str">
        <f t="shared" si="2"/>
        <v>6659-492343</v>
      </c>
      <c r="L72" s="49" t="str">
        <f t="shared" si="3"/>
        <v>6659-492343 -SERIE: FD8B1473- POS CHIP EMV -  VAUCHER N° 0000278 -  OP: 492343</v>
      </c>
      <c r="M72" s="5"/>
    </row>
    <row r="73" spans="2:13" x14ac:dyDescent="0.25">
      <c r="B73" s="48" t="str">
        <f>+BOTICA!G71</f>
        <v>16/01/2026</v>
      </c>
      <c r="C73" s="49" t="str">
        <f>+BOTICA!B71</f>
        <v>SERIE: FD8B1473- POS CONTACTLESS CHIP -  VAUCHER N° 0000276 -  OP: 489368</v>
      </c>
      <c r="D73" s="50">
        <f>+BOTICA!M71</f>
        <v>132</v>
      </c>
      <c r="E73" s="11"/>
      <c r="F73" s="49" t="str">
        <f>+BOTICA!C71</f>
        <v>008426659</v>
      </c>
      <c r="G73" s="51" t="str">
        <f>+BOTICA!A71</f>
        <v>6659-489368</v>
      </c>
      <c r="H73" s="49" t="str">
        <f>+BOTICA!H71</f>
        <v>16:38:28</v>
      </c>
      <c r="I73" s="49" t="str">
        <f>+BOTICA!R71</f>
        <v>0049</v>
      </c>
      <c r="J73" s="11"/>
      <c r="K73" s="49" t="str">
        <f t="shared" si="2"/>
        <v>6659-489368</v>
      </c>
      <c r="L73" s="49" t="str">
        <f t="shared" si="3"/>
        <v>6659-489368 -SERIE: FD8B1473- POS CONTACTLESS CHIP -  VAUCHER N° 0000276 -  OP: 489368</v>
      </c>
      <c r="M73" s="5"/>
    </row>
    <row r="74" spans="2:13" x14ac:dyDescent="0.25">
      <c r="B74" s="48" t="str">
        <f>+BOTICA!G72</f>
        <v>19/01/2026</v>
      </c>
      <c r="C74" s="49" t="str">
        <f>+BOTICA!B72</f>
        <v>SERIE: MPP002LL3- POS QR -  VAUCHER N° 3044567 -  OP: 020822</v>
      </c>
      <c r="D74" s="50">
        <f>+BOTICA!M72</f>
        <v>75</v>
      </c>
      <c r="E74" s="11"/>
      <c r="F74" s="49" t="str">
        <f>+BOTICA!C72</f>
        <v>008426659</v>
      </c>
      <c r="G74" s="51" t="str">
        <f>+BOTICA!A72</f>
        <v>6659-020822</v>
      </c>
      <c r="H74" s="49" t="str">
        <f>+BOTICA!H72</f>
        <v>13:44:46</v>
      </c>
      <c r="I74" s="49" t="str">
        <f>+BOTICA!R72</f>
        <v>0050</v>
      </c>
      <c r="J74" s="11"/>
      <c r="K74" s="49" t="str">
        <f t="shared" si="2"/>
        <v>6659-020822</v>
      </c>
      <c r="L74" s="49" t="str">
        <f t="shared" si="3"/>
        <v>6659-020822 -SERIE: MPP002LL3- POS QR -  VAUCHER N° 3044567 -  OP: 020822</v>
      </c>
      <c r="M74" s="5"/>
    </row>
    <row r="75" spans="2:13" x14ac:dyDescent="0.25">
      <c r="B75" s="48" t="str">
        <f>+BOTICA!G73</f>
        <v>19/01/2026</v>
      </c>
      <c r="C75" s="49" t="str">
        <f>+BOTICA!B73</f>
        <v>SERIE: MPP002LL3- POS QR -  VAUCHER N° 3049227 -  OP: 818371</v>
      </c>
      <c r="D75" s="50">
        <f>+BOTICA!M73</f>
        <v>230</v>
      </c>
      <c r="E75" s="11"/>
      <c r="F75" s="49" t="str">
        <f>+BOTICA!C73</f>
        <v>008426659</v>
      </c>
      <c r="G75" s="51" t="str">
        <f>+BOTICA!A73</f>
        <v>6659-818371</v>
      </c>
      <c r="H75" s="49" t="str">
        <f>+BOTICA!H73</f>
        <v>13:49:30</v>
      </c>
      <c r="I75" s="49" t="str">
        <f>+BOTICA!R73</f>
        <v>0050</v>
      </c>
      <c r="J75" s="11"/>
      <c r="K75" s="49" t="str">
        <f t="shared" si="2"/>
        <v>6659-818371</v>
      </c>
      <c r="L75" s="49" t="str">
        <f t="shared" si="3"/>
        <v>6659-818371 -SERIE: MPP002LL3- POS QR -  VAUCHER N° 3049227 -  OP: 818371</v>
      </c>
      <c r="M75" s="5"/>
    </row>
    <row r="76" spans="2:13" x14ac:dyDescent="0.25">
      <c r="B76" s="48" t="str">
        <f>+BOTICA!G74</f>
        <v>19/01/2026</v>
      </c>
      <c r="C76" s="49" t="str">
        <f>+BOTICA!B74</f>
        <v>SERIE: FD8B1473- POS CONTACTLESS CHIP -  VAUCHER N° 0000283 -  OP: 007711</v>
      </c>
      <c r="D76" s="50">
        <f>+BOTICA!M74</f>
        <v>96</v>
      </c>
      <c r="E76" s="11"/>
      <c r="F76" s="49" t="str">
        <f>+BOTICA!C74</f>
        <v>008426659</v>
      </c>
      <c r="G76" s="51" t="str">
        <f>+BOTICA!A74</f>
        <v>6659-007711</v>
      </c>
      <c r="H76" s="49" t="str">
        <f>+BOTICA!H74</f>
        <v>11:59:46</v>
      </c>
      <c r="I76" s="49" t="str">
        <f>+BOTICA!R74</f>
        <v>0050</v>
      </c>
      <c r="J76" s="11"/>
      <c r="K76" s="49" t="str">
        <f t="shared" si="2"/>
        <v>6659-007711</v>
      </c>
      <c r="L76" s="49" t="str">
        <f t="shared" si="3"/>
        <v>6659-007711 -SERIE: FD8B1473- POS CONTACTLESS CHIP -  VAUCHER N° 0000283 -  OP: 007711</v>
      </c>
      <c r="M76" s="5"/>
    </row>
    <row r="77" spans="2:13" x14ac:dyDescent="0.25">
      <c r="B77" s="48" t="str">
        <f>+BOTICA!G75</f>
        <v>19/01/2026</v>
      </c>
      <c r="C77" s="49" t="str">
        <f>+BOTICA!B75</f>
        <v>SERIE: PAYZEN- POS VIRTUAL -  VAUCHER N° 9900106 -  OP: 565491</v>
      </c>
      <c r="D77" s="50">
        <f>+BOTICA!M75</f>
        <v>229</v>
      </c>
      <c r="E77" s="11"/>
      <c r="F77" s="49" t="str">
        <f>+BOTICA!C75</f>
        <v>008426659</v>
      </c>
      <c r="G77" s="51" t="str">
        <f>+BOTICA!A75</f>
        <v>6659-565491</v>
      </c>
      <c r="H77" s="49" t="str">
        <f>+BOTICA!H75</f>
        <v>12:42:46</v>
      </c>
      <c r="I77" s="49">
        <f>+BOTICA!R75</f>
        <v>0</v>
      </c>
      <c r="J77" s="11"/>
      <c r="K77" s="49" t="str">
        <f t="shared" si="2"/>
        <v>6659-565491</v>
      </c>
      <c r="L77" s="49" t="str">
        <f t="shared" si="3"/>
        <v>6659-565491 -SERIE: PAYZEN- POS VIRTUAL -  VAUCHER N° 9900106 -  OP: 565491</v>
      </c>
      <c r="M77" s="5"/>
    </row>
    <row r="78" spans="2:13" x14ac:dyDescent="0.25">
      <c r="B78" s="48" t="str">
        <f>+BOTICA!G76</f>
        <v>20/01/2026</v>
      </c>
      <c r="C78" s="49" t="str">
        <f>+BOTICA!B76</f>
        <v>SERIE: FD8B1473- POS CONTACTLESS CHIP -  VAUCHER N° 0000296 -  OP: 021840</v>
      </c>
      <c r="D78" s="50">
        <f>+BOTICA!M76</f>
        <v>104</v>
      </c>
      <c r="E78" s="11"/>
      <c r="F78" s="49" t="str">
        <f>+BOTICA!C76</f>
        <v>008426659</v>
      </c>
      <c r="G78" s="51" t="str">
        <f>+BOTICA!A76</f>
        <v>6659-021840</v>
      </c>
      <c r="H78" s="49" t="str">
        <f>+BOTICA!H76</f>
        <v>17:05:28</v>
      </c>
      <c r="I78" s="49" t="str">
        <f>+BOTICA!R76</f>
        <v>0051</v>
      </c>
      <c r="J78" s="11"/>
      <c r="K78" s="49" t="str">
        <f t="shared" si="2"/>
        <v>6659-021840</v>
      </c>
      <c r="L78" s="49" t="str">
        <f t="shared" si="3"/>
        <v>6659-021840 -SERIE: FD8B1473- POS CONTACTLESS CHIP -  VAUCHER N° 0000296 -  OP: 021840</v>
      </c>
      <c r="M78" s="5"/>
    </row>
    <row r="79" spans="2:13" x14ac:dyDescent="0.25">
      <c r="B79" s="48" t="str">
        <f>+BOTICA!G77</f>
        <v>20/01/2026</v>
      </c>
      <c r="C79" s="49" t="str">
        <f>+BOTICA!B77</f>
        <v>SERIE: FD8B1473- POS CONTACTLESS CHIP -  VAUCHER N° 0000294 -  OP: 414043</v>
      </c>
      <c r="D79" s="50">
        <f>+BOTICA!M77</f>
        <v>367</v>
      </c>
      <c r="E79" s="11"/>
      <c r="F79" s="49" t="str">
        <f>+BOTICA!C77</f>
        <v>008426659</v>
      </c>
      <c r="G79" s="51" t="str">
        <f>+BOTICA!A77</f>
        <v>6659-414043</v>
      </c>
      <c r="H79" s="49" t="str">
        <f>+BOTICA!H77</f>
        <v>11:41:33</v>
      </c>
      <c r="I79" s="49" t="str">
        <f>+BOTICA!R77</f>
        <v>0051</v>
      </c>
      <c r="J79" s="11"/>
      <c r="K79" s="49" t="str">
        <f t="shared" si="2"/>
        <v>6659-414043</v>
      </c>
      <c r="L79" s="49" t="str">
        <f t="shared" si="3"/>
        <v>6659-414043 -SERIE: FD8B1473- POS CONTACTLESS CHIP -  VAUCHER N° 0000294 -  OP: 414043</v>
      </c>
      <c r="M79" s="5"/>
    </row>
    <row r="80" spans="2:13" x14ac:dyDescent="0.25">
      <c r="B80" s="48" t="str">
        <f>+BOTICA!G78</f>
        <v>19/01/2026</v>
      </c>
      <c r="C80" s="49" t="str">
        <f>+BOTICA!B78</f>
        <v>SERIE: PAYZEN- E-COMMERCE -  VAUCHER N° 0351088 -  OP: 413068</v>
      </c>
      <c r="D80" s="50">
        <f>+BOTICA!M78</f>
        <v>110</v>
      </c>
      <c r="E80" s="11"/>
      <c r="F80" s="49" t="str">
        <f>+BOTICA!C78</f>
        <v>008426659</v>
      </c>
      <c r="G80" s="51" t="str">
        <f>+BOTICA!A78</f>
        <v>6659-413068</v>
      </c>
      <c r="H80" s="49" t="str">
        <f>+BOTICA!H78</f>
        <v>21:41:23</v>
      </c>
      <c r="I80" s="49">
        <f>+BOTICA!R78</f>
        <v>0</v>
      </c>
      <c r="J80" s="11"/>
      <c r="K80" s="49" t="str">
        <f t="shared" si="2"/>
        <v>6659-413068</v>
      </c>
      <c r="L80" s="49" t="str">
        <f t="shared" si="3"/>
        <v>6659-413068 -SERIE: PAYZEN- E-COMMERCE -  VAUCHER N° 0351088 -  OP: 413068</v>
      </c>
      <c r="M80" s="5"/>
    </row>
    <row r="81" spans="2:13" x14ac:dyDescent="0.25">
      <c r="B81" s="48" t="str">
        <f>+BOTICA!G79</f>
        <v>20/01/2026</v>
      </c>
      <c r="C81" s="49" t="str">
        <f>+BOTICA!B79</f>
        <v>SERIE: PAYZEN- POS VIRTUAL -  VAUCHER N° 0679121 -  OP: 432960</v>
      </c>
      <c r="D81" s="50">
        <f>+BOTICA!M79</f>
        <v>188</v>
      </c>
      <c r="E81" s="11"/>
      <c r="F81" s="49" t="str">
        <f>+BOTICA!C79</f>
        <v>008426659</v>
      </c>
      <c r="G81" s="51" t="str">
        <f>+BOTICA!A79</f>
        <v>6659-432960</v>
      </c>
      <c r="H81" s="49" t="str">
        <f>+BOTICA!H79</f>
        <v>10:43:20</v>
      </c>
      <c r="I81" s="49">
        <f>+BOTICA!R79</f>
        <v>0</v>
      </c>
      <c r="J81" s="11"/>
      <c r="K81" s="49" t="str">
        <f t="shared" si="2"/>
        <v>6659-432960</v>
      </c>
      <c r="L81" s="49" t="str">
        <f t="shared" si="3"/>
        <v>6659-432960 -SERIE: PAYZEN- POS VIRTUAL -  VAUCHER N° 0679121 -  OP: 432960</v>
      </c>
      <c r="M81" s="5"/>
    </row>
    <row r="82" spans="2:13" x14ac:dyDescent="0.25">
      <c r="B82" s="48" t="str">
        <f>+BOTICA!G80</f>
        <v>20/01/2026</v>
      </c>
      <c r="C82" s="49" t="str">
        <f>+BOTICA!B80</f>
        <v>SERIE: MPP002LL3- POS QR -  VAUCHER N° 7019932 -  OP: 448247</v>
      </c>
      <c r="D82" s="50">
        <f>+BOTICA!M80</f>
        <v>2</v>
      </c>
      <c r="E82" s="11"/>
      <c r="F82" s="49" t="str">
        <f>+BOTICA!C80</f>
        <v>008426659</v>
      </c>
      <c r="G82" s="51" t="str">
        <f>+BOTICA!A80</f>
        <v>6659-448247</v>
      </c>
      <c r="H82" s="49" t="str">
        <f>+BOTICA!H80</f>
        <v>17:22:23</v>
      </c>
      <c r="I82" s="49" t="str">
        <f>+BOTICA!R80</f>
        <v>0051</v>
      </c>
      <c r="J82" s="11"/>
      <c r="K82" s="49" t="str">
        <f t="shared" si="2"/>
        <v>6659-448247</v>
      </c>
      <c r="L82" s="49" t="str">
        <f t="shared" si="3"/>
        <v>6659-448247 -SERIE: MPP002LL3- POS QR -  VAUCHER N° 7019932 -  OP: 448247</v>
      </c>
      <c r="M82" s="5"/>
    </row>
    <row r="83" spans="2:13" x14ac:dyDescent="0.25">
      <c r="B83" s="48" t="str">
        <f>+BOTICA!G81</f>
        <v>21/01/2026</v>
      </c>
      <c r="C83" s="49" t="str">
        <f>+BOTICA!B81</f>
        <v>SERIE: FD8B1473- POS CONTACTLESS CHIP -  VAUCHER N° 0000306 -  OP: 492081</v>
      </c>
      <c r="D83" s="50">
        <f>+BOTICA!M81</f>
        <v>40.5</v>
      </c>
      <c r="E83" s="11"/>
      <c r="F83" s="49" t="str">
        <f>+BOTICA!C81</f>
        <v>008426659</v>
      </c>
      <c r="G83" s="51" t="str">
        <f>+BOTICA!A81</f>
        <v>6659-492081</v>
      </c>
      <c r="H83" s="49" t="str">
        <f>+BOTICA!H81</f>
        <v>12:49:13</v>
      </c>
      <c r="I83" s="49" t="str">
        <f>+BOTICA!R81</f>
        <v>0052</v>
      </c>
      <c r="J83" s="11"/>
      <c r="K83" s="49" t="str">
        <f t="shared" si="2"/>
        <v>6659-492081</v>
      </c>
      <c r="L83" s="49" t="str">
        <f t="shared" si="3"/>
        <v>6659-492081 -SERIE: FD8B1473- POS CONTACTLESS CHIP -  VAUCHER N° 0000306 -  OP: 492081</v>
      </c>
      <c r="M83" s="5"/>
    </row>
    <row r="84" spans="2:13" x14ac:dyDescent="0.25">
      <c r="B84" s="48" t="str">
        <f>+BOTICA!G82</f>
        <v>21/01/2026</v>
      </c>
      <c r="C84" s="49" t="str">
        <f>+BOTICA!B82</f>
        <v>SERIE: FD8B1473- POS CONTACTLESS CHIP -  VAUCHER N° 0000304 -  OP: 564568</v>
      </c>
      <c r="D84" s="50">
        <f>+BOTICA!M82</f>
        <v>40</v>
      </c>
      <c r="E84" s="11"/>
      <c r="F84" s="49" t="str">
        <f>+BOTICA!C82</f>
        <v>008426659</v>
      </c>
      <c r="G84" s="51" t="str">
        <f>+BOTICA!A82</f>
        <v>6659-564568</v>
      </c>
      <c r="H84" s="49" t="str">
        <f>+BOTICA!H82</f>
        <v>11:56:37</v>
      </c>
      <c r="I84" s="49" t="str">
        <f>+BOTICA!R82</f>
        <v>0052</v>
      </c>
      <c r="J84" s="11"/>
      <c r="K84" s="49" t="str">
        <f t="shared" si="2"/>
        <v>6659-564568</v>
      </c>
      <c r="L84" s="49" t="str">
        <f t="shared" si="3"/>
        <v>6659-564568 -SERIE: FD8B1473- POS CONTACTLESS CHIP -  VAUCHER N° 0000304 -  OP: 564568</v>
      </c>
      <c r="M84" s="5"/>
    </row>
    <row r="85" spans="2:13" x14ac:dyDescent="0.25">
      <c r="B85" s="48" t="str">
        <f>+BOTICA!G83</f>
        <v>22/01/2026</v>
      </c>
      <c r="C85" s="49" t="str">
        <f>+BOTICA!B83</f>
        <v>SERIE: PAYZEN- POS VIRTUAL -  VAUCHER N° 2669464 -  OP: 330371</v>
      </c>
      <c r="D85" s="50">
        <f>+BOTICA!M83</f>
        <v>420</v>
      </c>
      <c r="E85" s="11"/>
      <c r="F85" s="49" t="str">
        <f>+BOTICA!C83</f>
        <v>008426659</v>
      </c>
      <c r="G85" s="51" t="str">
        <f>+BOTICA!A83</f>
        <v>6659-330371</v>
      </c>
      <c r="H85" s="49" t="str">
        <f>+BOTICA!H83</f>
        <v>17:32:54</v>
      </c>
      <c r="I85" s="49">
        <f>+BOTICA!R83</f>
        <v>0</v>
      </c>
      <c r="J85" s="11"/>
      <c r="K85" s="49" t="str">
        <f t="shared" si="2"/>
        <v>6659-330371</v>
      </c>
      <c r="L85" s="49" t="str">
        <f t="shared" si="3"/>
        <v>6659-330371 -SERIE: PAYZEN- POS VIRTUAL -  VAUCHER N° 2669464 -  OP: 330371</v>
      </c>
      <c r="M85" s="5"/>
    </row>
    <row r="86" spans="2:13" x14ac:dyDescent="0.25">
      <c r="B86" s="48" t="str">
        <f>+BOTICA!G84</f>
        <v>22/01/2026</v>
      </c>
      <c r="C86" s="49" t="str">
        <f>+BOTICA!B84</f>
        <v>SERIE: MPP002LL3- POS QR -  VAUCHER N° 1033750 -  OP: 771066</v>
      </c>
      <c r="D86" s="50">
        <f>+BOTICA!M84</f>
        <v>25</v>
      </c>
      <c r="E86" s="11"/>
      <c r="F86" s="49" t="str">
        <f>+BOTICA!C84</f>
        <v>008426659</v>
      </c>
      <c r="G86" s="51" t="str">
        <f>+BOTICA!A84</f>
        <v>6659-771066</v>
      </c>
      <c r="H86" s="49" t="str">
        <f>+BOTICA!H84</f>
        <v>11:43:41</v>
      </c>
      <c r="I86" s="49" t="str">
        <f>+BOTICA!R84</f>
        <v>0053</v>
      </c>
      <c r="J86" s="11"/>
      <c r="K86" s="49" t="str">
        <f t="shared" si="2"/>
        <v>6659-771066</v>
      </c>
      <c r="L86" s="49" t="str">
        <f t="shared" si="3"/>
        <v>6659-771066 -SERIE: MPP002LL3- POS QR -  VAUCHER N° 1033750 -  OP: 771066</v>
      </c>
      <c r="M86" s="5"/>
    </row>
    <row r="87" spans="2:13" x14ac:dyDescent="0.25">
      <c r="B87" s="48" t="str">
        <f>+BOTICA!G85</f>
        <v>26/01/2026</v>
      </c>
      <c r="C87" s="49" t="str">
        <f>+BOTICA!B85</f>
        <v>SERIE: FD8B1473- POS CONTACTLESS CHIP -  VAUCHER N° 0000317 -  OP: 148710</v>
      </c>
      <c r="D87" s="50">
        <f>+BOTICA!M85</f>
        <v>568</v>
      </c>
      <c r="E87" s="11"/>
      <c r="F87" s="49" t="str">
        <f>+BOTICA!C85</f>
        <v>008426659</v>
      </c>
      <c r="G87" s="51" t="str">
        <f>+BOTICA!A85</f>
        <v>6659-148710</v>
      </c>
      <c r="H87" s="49" t="str">
        <f>+BOTICA!H85</f>
        <v>14:59:25</v>
      </c>
      <c r="I87" s="49" t="str">
        <f>+BOTICA!R85</f>
        <v>0054</v>
      </c>
      <c r="J87" s="11"/>
      <c r="K87" s="49" t="str">
        <f t="shared" si="2"/>
        <v>6659-148710</v>
      </c>
      <c r="L87" s="49" t="str">
        <f t="shared" si="3"/>
        <v>6659-148710 -SERIE: FD8B1473- POS CONTACTLESS CHIP -  VAUCHER N° 0000317 -  OP: 148710</v>
      </c>
      <c r="M87" s="5"/>
    </row>
    <row r="88" spans="2:13" x14ac:dyDescent="0.25">
      <c r="B88" s="48" t="str">
        <f>+BOTICA!G86</f>
        <v>27/01/2026</v>
      </c>
      <c r="C88" s="49" t="str">
        <f>+BOTICA!B86</f>
        <v>SERIE: PAYZEN- E-COMMERCE -  VAUCHER N° 7296938 -  OP: T08117</v>
      </c>
      <c r="D88" s="50">
        <f>+BOTICA!M86</f>
        <v>631.51</v>
      </c>
      <c r="E88" s="11"/>
      <c r="F88" s="49" t="str">
        <f>+BOTICA!C86</f>
        <v>008426659</v>
      </c>
      <c r="G88" s="51" t="str">
        <f>+BOTICA!A86</f>
        <v>6659-T08117</v>
      </c>
      <c r="H88" s="49" t="str">
        <f>+BOTICA!H86</f>
        <v>15:45:34</v>
      </c>
      <c r="I88" s="49">
        <f>+BOTICA!R86</f>
        <v>0</v>
      </c>
      <c r="J88" s="11"/>
      <c r="K88" s="49" t="str">
        <f t="shared" si="2"/>
        <v>6659-T08117</v>
      </c>
      <c r="L88" s="49" t="str">
        <f t="shared" si="3"/>
        <v>6659-T08117 -SERIE: PAYZEN- E-COMMERCE -  VAUCHER N° 7296938 -  OP: T08117</v>
      </c>
      <c r="M88" s="5"/>
    </row>
    <row r="89" spans="2:13" x14ac:dyDescent="0.25">
      <c r="B89" s="48" t="str">
        <f>+BOTICA!G87</f>
        <v>27/01/2026</v>
      </c>
      <c r="C89" s="49" t="str">
        <f>+BOTICA!B87</f>
        <v>SERIE: MPP002LL3- POS QR -  VAUCHER N° 6046234 -  OP: 360330</v>
      </c>
      <c r="D89" s="50">
        <f>+BOTICA!M87</f>
        <v>23</v>
      </c>
      <c r="E89" s="11"/>
      <c r="F89" s="49" t="str">
        <f>+BOTICA!C87</f>
        <v>008426659</v>
      </c>
      <c r="G89" s="51" t="str">
        <f>+BOTICA!A87</f>
        <v>6659-360330</v>
      </c>
      <c r="H89" s="49" t="str">
        <f>+BOTICA!H87</f>
        <v>16:56:28</v>
      </c>
      <c r="I89" s="49" t="str">
        <f>+BOTICA!R87</f>
        <v>0055</v>
      </c>
      <c r="J89" s="11"/>
      <c r="K89" s="49" t="str">
        <f t="shared" si="2"/>
        <v>6659-360330</v>
      </c>
      <c r="L89" s="49" t="str">
        <f t="shared" si="3"/>
        <v>6659-360330 -SERIE: MPP002LL3- POS QR -  VAUCHER N° 6046234 -  OP: 360330</v>
      </c>
      <c r="M89" s="5"/>
    </row>
    <row r="90" spans="2:13" x14ac:dyDescent="0.25">
      <c r="B90" s="48" t="str">
        <f>+BOTICA!G88</f>
        <v>28/01/2026</v>
      </c>
      <c r="C90" s="49" t="str">
        <f>+BOTICA!B88</f>
        <v>SERIE: PAYZEN- POS VIRTUAL -  VAUCHER N° 8073382 -  OP: 561647</v>
      </c>
      <c r="D90" s="50">
        <f>+BOTICA!M88</f>
        <v>860</v>
      </c>
      <c r="E90" s="11"/>
      <c r="F90" s="49" t="str">
        <f>+BOTICA!C88</f>
        <v>008426659</v>
      </c>
      <c r="G90" s="51" t="str">
        <f>+BOTICA!A88</f>
        <v>6659-561647</v>
      </c>
      <c r="H90" s="49" t="str">
        <f>+BOTICA!H88</f>
        <v>11:56:06</v>
      </c>
      <c r="I90" s="49">
        <f>+BOTICA!R88</f>
        <v>0</v>
      </c>
      <c r="J90" s="11"/>
      <c r="K90" s="49" t="str">
        <f t="shared" si="2"/>
        <v>6659-561647</v>
      </c>
      <c r="L90" s="49" t="str">
        <f t="shared" si="3"/>
        <v>6659-561647 -SERIE: PAYZEN- POS VIRTUAL -  VAUCHER N° 8073382 -  OP: 561647</v>
      </c>
      <c r="M90" s="5"/>
    </row>
    <row r="91" spans="2:13" x14ac:dyDescent="0.25">
      <c r="B91" s="48" t="str">
        <f>+BOTICA!G89</f>
        <v>29/01/2026</v>
      </c>
      <c r="C91" s="49" t="str">
        <f>+BOTICA!B89</f>
        <v>SERIE: PAYZEN- POS VIRTUAL -  VAUCHER N° 9905757 -  OP: 885768</v>
      </c>
      <c r="D91" s="50">
        <f>+BOTICA!M89</f>
        <v>60.5</v>
      </c>
      <c r="E91" s="11"/>
      <c r="F91" s="49" t="str">
        <f>+BOTICA!C89</f>
        <v>008426659</v>
      </c>
      <c r="G91" s="51" t="str">
        <f>+BOTICA!A89</f>
        <v>6659-885768</v>
      </c>
      <c r="H91" s="49" t="str">
        <f>+BOTICA!H89</f>
        <v>14:24:31</v>
      </c>
      <c r="I91" s="49">
        <f>+BOTICA!R89</f>
        <v>0</v>
      </c>
      <c r="J91" s="11"/>
      <c r="K91" s="49" t="str">
        <f t="shared" si="2"/>
        <v>6659-885768</v>
      </c>
      <c r="L91" s="49" t="str">
        <f t="shared" si="3"/>
        <v>6659-885768 -SERIE: PAYZEN- POS VIRTUAL -  VAUCHER N° 9905757 -  OP: 885768</v>
      </c>
      <c r="M91" s="5"/>
    </row>
    <row r="92" spans="2:13" x14ac:dyDescent="0.25">
      <c r="B92" s="48" t="str">
        <f>+BOTICA!G90</f>
        <v>30/01/2026</v>
      </c>
      <c r="C92" s="49" t="str">
        <f>+BOTICA!B90</f>
        <v>SERIE: FD8B1473- POS CONTACTLESS CHIP -  VAUCHER N° 0000332 -  OP: 777614</v>
      </c>
      <c r="D92" s="50">
        <f>+BOTICA!M90</f>
        <v>40</v>
      </c>
      <c r="E92" s="11"/>
      <c r="F92" s="49" t="str">
        <f>+BOTICA!C90</f>
        <v>008426659</v>
      </c>
      <c r="G92" s="51" t="str">
        <f>+BOTICA!A90</f>
        <v>6659-777614</v>
      </c>
      <c r="H92" s="49" t="str">
        <f>+BOTICA!H90</f>
        <v>14:37:38</v>
      </c>
      <c r="I92" s="49" t="str">
        <f>+BOTICA!R90</f>
        <v>0056</v>
      </c>
      <c r="J92" s="11"/>
      <c r="K92" s="49" t="str">
        <f t="shared" si="2"/>
        <v>6659-777614</v>
      </c>
      <c r="L92" s="49" t="str">
        <f t="shared" si="3"/>
        <v>6659-777614 -SERIE: FD8B1473- POS CONTACTLESS CHIP -  VAUCHER N° 0000332 -  OP: 777614</v>
      </c>
      <c r="M92" s="5"/>
    </row>
    <row r="93" spans="2:13" x14ac:dyDescent="0.25">
      <c r="B93" s="48" t="str">
        <f>+BOTICA!G91</f>
        <v>30/01/2026</v>
      </c>
      <c r="C93" s="49" t="str">
        <f>+BOTICA!B91</f>
        <v>SERIE: FD8B1473- POS CONTACTLESS CHIP -  VAUCHER N° 0000330 -  OP: 885527</v>
      </c>
      <c r="D93" s="50">
        <f>+BOTICA!M91</f>
        <v>25</v>
      </c>
      <c r="E93" s="11"/>
      <c r="F93" s="49" t="str">
        <f>+BOTICA!C91</f>
        <v>008426659</v>
      </c>
      <c r="G93" s="51" t="str">
        <f>+BOTICA!A91</f>
        <v>6659-885527</v>
      </c>
      <c r="H93" s="49" t="str">
        <f>+BOTICA!H91</f>
        <v>14:37:01</v>
      </c>
      <c r="I93" s="49" t="str">
        <f>+BOTICA!R91</f>
        <v>0056</v>
      </c>
      <c r="J93" s="11"/>
      <c r="K93" s="49" t="str">
        <f t="shared" si="2"/>
        <v>6659-885527</v>
      </c>
      <c r="L93" s="49" t="str">
        <f t="shared" si="3"/>
        <v>6659-885527 -SERIE: FD8B1473- POS CONTACTLESS CHIP -  VAUCHER N° 0000330 -  OP: 885527</v>
      </c>
      <c r="M93" s="5"/>
    </row>
    <row r="94" spans="2:13" x14ac:dyDescent="0.25">
      <c r="B94" s="48" t="str">
        <f>+BOTICA!G92</f>
        <v>30/01/2026</v>
      </c>
      <c r="C94" s="49" t="str">
        <f>+BOTICA!B92</f>
        <v>SERIE: FD8B1473- POS CONTACTLESS CHIP -  VAUCHER N° 0000328 -  OP: 875873</v>
      </c>
      <c r="D94" s="50">
        <f>+BOTICA!M92</f>
        <v>3</v>
      </c>
      <c r="E94" s="11"/>
      <c r="F94" s="49" t="str">
        <f>+BOTICA!C92</f>
        <v>008426659</v>
      </c>
      <c r="G94" s="51" t="str">
        <f>+BOTICA!A92</f>
        <v>6659-875873</v>
      </c>
      <c r="H94" s="49" t="str">
        <f>+BOTICA!H92</f>
        <v>14:26:07</v>
      </c>
      <c r="I94" s="49" t="str">
        <f>+BOTICA!R92</f>
        <v>0056</v>
      </c>
      <c r="J94" s="11"/>
      <c r="K94" s="49" t="str">
        <f t="shared" si="2"/>
        <v>6659-875873</v>
      </c>
      <c r="L94" s="49" t="str">
        <f t="shared" si="3"/>
        <v>6659-875873 -SERIE: FD8B1473- POS CONTACTLESS CHIP -  VAUCHER N° 0000328 -  OP: 875873</v>
      </c>
      <c r="M94" s="5"/>
    </row>
    <row r="95" spans="2:13" x14ac:dyDescent="0.25">
      <c r="B95" s="48" t="str">
        <f>+BOTICA!G93</f>
        <v>30/01/2026</v>
      </c>
      <c r="C95" s="49" t="str">
        <f>+BOTICA!B93</f>
        <v>SERIE: PAYZEN- POS VIRTUAL -  VAUCHER N° 0803742 -  OP: 005949</v>
      </c>
      <c r="D95" s="50">
        <f>+BOTICA!M93</f>
        <v>635</v>
      </c>
      <c r="E95" s="11"/>
      <c r="F95" s="49" t="str">
        <f>+BOTICA!C93</f>
        <v>008426659</v>
      </c>
      <c r="G95" s="51" t="str">
        <f>+BOTICA!A93</f>
        <v>6659-005949</v>
      </c>
      <c r="H95" s="49" t="str">
        <f>+BOTICA!H93</f>
        <v>17:29:14</v>
      </c>
      <c r="I95" s="49">
        <f>+BOTICA!R93</f>
        <v>0</v>
      </c>
      <c r="J95" s="11"/>
      <c r="K95" s="49" t="str">
        <f t="shared" si="2"/>
        <v>6659-005949</v>
      </c>
      <c r="L95" s="49" t="str">
        <f t="shared" si="3"/>
        <v>6659-005949 -SERIE: PAYZEN- POS VIRTUAL -  VAUCHER N° 0803742 -  OP: 005949</v>
      </c>
      <c r="M95" s="5"/>
    </row>
    <row r="96" spans="2:13" x14ac:dyDescent="0.25">
      <c r="B96" s="48" t="str">
        <f>+BOTICA!G94</f>
        <v>30/01/2026</v>
      </c>
      <c r="C96" s="49" t="str">
        <f>+BOTICA!B94</f>
        <v>SERIE: PAYZEN- POS VIRTUAL -  VAUCHER N° 0993770 -  OP: 002617</v>
      </c>
      <c r="D96" s="50">
        <f>+BOTICA!M94</f>
        <v>1460.13</v>
      </c>
      <c r="E96" s="11"/>
      <c r="F96" s="49" t="str">
        <f>+BOTICA!C94</f>
        <v>008426659</v>
      </c>
      <c r="G96" s="51" t="str">
        <f>+BOTICA!A94</f>
        <v>6659-002617</v>
      </c>
      <c r="H96" s="49" t="str">
        <f>+BOTICA!H94</f>
        <v>15:08:42</v>
      </c>
      <c r="I96" s="49">
        <f>+BOTICA!R94</f>
        <v>0</v>
      </c>
      <c r="J96" s="11"/>
      <c r="K96" s="49" t="str">
        <f t="shared" si="2"/>
        <v>6659-002617</v>
      </c>
      <c r="L96" s="49" t="str">
        <f t="shared" si="3"/>
        <v>6659-002617 -SERIE: PAYZEN- POS VIRTUAL -  VAUCHER N° 0993770 -  OP: 002617</v>
      </c>
      <c r="M96" s="5"/>
    </row>
    <row r="97" spans="2:13" x14ac:dyDescent="0.25">
      <c r="B97" s="48" t="str">
        <f>+BOTICA!G95</f>
        <v>FECHA DE TRANSACCION</v>
      </c>
      <c r="C97" s="49" t="str">
        <f>+BOTICA!B95</f>
        <v>SERIE: SERIE TERMINAL- TIPO DE CAPTURA -  VAUCHER N° NUM DE REF (VOUCHER) -  OP: CODIGO DE AUTORIZACION</v>
      </c>
      <c r="D97" s="50" t="str">
        <f>+BOTICA!M95</f>
        <v>IMPORTE</v>
      </c>
      <c r="E97" s="11"/>
      <c r="F97" s="49" t="str">
        <f>+BOTICA!C95</f>
        <v>CODIGO</v>
      </c>
      <c r="G97" s="51" t="str">
        <f>+BOTICA!A95</f>
        <v>DIGO-CODIGO DE AUTORIZACION</v>
      </c>
      <c r="H97" s="49" t="str">
        <f>+BOTICA!H95</f>
        <v>HORA DE TRANSACCION</v>
      </c>
      <c r="I97" s="49" t="str">
        <f>+BOTICA!R95</f>
        <v>NUM DE LOTE</v>
      </c>
      <c r="J97" s="11"/>
      <c r="K97" s="49" t="str">
        <f t="shared" si="2"/>
        <v>DIGO-CODIGO DE AUTORIZACION</v>
      </c>
      <c r="L97" s="49" t="str">
        <f t="shared" si="3"/>
        <v>DIGO-CODIGO DE AUTORIZACION -SERIE: SERIE TERMINAL- TIPO DE CAPTURA -  VAUCHER N° NUM DE REF (VOUCHER) -  OP: CODIGO DE AUTORIZACION</v>
      </c>
      <c r="M97" s="5"/>
    </row>
    <row r="98" spans="2:13" x14ac:dyDescent="0.25">
      <c r="B98" s="48" t="str">
        <f>+BOTICA!G96</f>
        <v>29/01/2026</v>
      </c>
      <c r="C98" s="49" t="str">
        <f>+BOTICA!B96</f>
        <v>SERIE: FD8B1098- POS CONTACTLESS CHIP -  VAUCHER N° 0000274 -  OP: 048263</v>
      </c>
      <c r="D98" s="50">
        <f>+BOTICA!M96</f>
        <v>124</v>
      </c>
      <c r="E98" s="11"/>
      <c r="F98" s="49" t="str">
        <f>+BOTICA!C96</f>
        <v>008426210</v>
      </c>
      <c r="G98" s="51" t="str">
        <f>+BOTICA!A96</f>
        <v>6210-048263</v>
      </c>
      <c r="H98" s="49" t="str">
        <f>+BOTICA!H96</f>
        <v>15:45:53</v>
      </c>
      <c r="I98" s="49" t="str">
        <f>+BOTICA!R96</f>
        <v>0163</v>
      </c>
      <c r="J98" s="11"/>
      <c r="K98" s="49" t="str">
        <f t="shared" si="2"/>
        <v>6210-048263</v>
      </c>
      <c r="L98" s="49" t="str">
        <f t="shared" si="3"/>
        <v>6210-048263 -SERIE: FD8B1098- POS CONTACTLESS CHIP -  VAUCHER N° 0000274 -  OP: 048263</v>
      </c>
      <c r="M98" s="5"/>
    </row>
    <row r="99" spans="2:13" x14ac:dyDescent="0.25">
      <c r="B99" s="48" t="str">
        <f>+BOTICA!G97</f>
        <v>FECHA DE TRANSACCION</v>
      </c>
      <c r="C99" s="49" t="str">
        <f>+BOTICA!B97</f>
        <v>SERIE: SERIE TERMINAL- TIPO DE CAPTURA -  VAUCHER N° NUM DE REF (VOUCHER) -  OP: CODIGO DE AUTORIZACION</v>
      </c>
      <c r="D99" s="50" t="str">
        <f>+BOTICA!M97</f>
        <v>IMPORTE</v>
      </c>
      <c r="E99" s="11"/>
      <c r="F99" s="49" t="str">
        <f>+BOTICA!C97</f>
        <v>CODIGO</v>
      </c>
      <c r="G99" s="51" t="str">
        <f>+BOTICA!A97</f>
        <v>DIGO-CODIGO DE AUTORIZACION</v>
      </c>
      <c r="H99" s="49" t="str">
        <f>+BOTICA!H97</f>
        <v>HORA DE TRANSACCION</v>
      </c>
      <c r="I99" s="49" t="str">
        <f>+BOTICA!R97</f>
        <v>NUM DE LOTE</v>
      </c>
      <c r="J99" s="11"/>
      <c r="K99" s="49" t="str">
        <f t="shared" si="2"/>
        <v>DIGO-CODIGO DE AUTORIZACION</v>
      </c>
      <c r="L99" s="49" t="str">
        <f t="shared" si="3"/>
        <v>DIGO-CODIGO DE AUTORIZACION -SERIE: SERIE TERMINAL- TIPO DE CAPTURA -  VAUCHER N° NUM DE REF (VOUCHER) -  OP: CODIGO DE AUTORIZACION</v>
      </c>
      <c r="M99" s="5"/>
    </row>
    <row r="100" spans="2:13" x14ac:dyDescent="0.25">
      <c r="B100" s="48" t="str">
        <f>+BOTICA!G98</f>
        <v>02/01/2026</v>
      </c>
      <c r="C100" s="49" t="str">
        <f>+BOTICA!B98</f>
        <v>SERIE: 56F20826- POS CONTACTLESS CHIP -  VAUCHER N° 0000272 -  OP: 847431</v>
      </c>
      <c r="D100" s="50">
        <f>+BOTICA!M98</f>
        <v>102</v>
      </c>
      <c r="E100" s="11"/>
      <c r="F100" s="49" t="str">
        <f>+BOTICA!C98</f>
        <v>008426179</v>
      </c>
      <c r="G100" s="51" t="str">
        <f>+BOTICA!A98</f>
        <v>6179-847431</v>
      </c>
      <c r="H100" s="49" t="str">
        <f>+BOTICA!H98</f>
        <v>12:52:57</v>
      </c>
      <c r="I100" s="49" t="str">
        <f>+BOTICA!R98</f>
        <v>0039</v>
      </c>
      <c r="J100" s="11"/>
      <c r="K100" s="49" t="str">
        <f t="shared" si="2"/>
        <v>6179-847431</v>
      </c>
      <c r="L100" s="49" t="str">
        <f t="shared" si="3"/>
        <v>6179-847431 -SERIE: 56F20826- POS CONTACTLESS CHIP -  VAUCHER N° 0000272 -  OP: 847431</v>
      </c>
      <c r="M100" s="5"/>
    </row>
    <row r="101" spans="2:13" x14ac:dyDescent="0.25">
      <c r="B101" s="48" t="str">
        <f>+BOTICA!G99</f>
        <v>06/01/2026</v>
      </c>
      <c r="C101" s="49" t="str">
        <f>+BOTICA!B99</f>
        <v>SERIE: 56F20826- POS CONTACTLESS CHIP -  VAUCHER N° 0000278 -  OP: R06901</v>
      </c>
      <c r="D101" s="50">
        <f>+BOTICA!M99</f>
        <v>140</v>
      </c>
      <c r="E101" s="11"/>
      <c r="F101" s="49" t="str">
        <f>+BOTICA!C99</f>
        <v>008426179</v>
      </c>
      <c r="G101" s="51" t="str">
        <f>+BOTICA!A99</f>
        <v>6179-R06901</v>
      </c>
      <c r="H101" s="49" t="str">
        <f>+BOTICA!H99</f>
        <v>15:56:56</v>
      </c>
      <c r="I101" s="49" t="str">
        <f>+BOTICA!R99</f>
        <v>0040</v>
      </c>
      <c r="J101" s="11"/>
      <c r="K101" s="49" t="str">
        <f t="shared" si="2"/>
        <v>6179-R06901</v>
      </c>
      <c r="L101" s="49" t="str">
        <f t="shared" si="3"/>
        <v>6179-R06901 -SERIE: 56F20826- POS CONTACTLESS CHIP -  VAUCHER N° 0000278 -  OP: R06901</v>
      </c>
      <c r="M101" s="5"/>
    </row>
    <row r="102" spans="2:13" x14ac:dyDescent="0.25">
      <c r="B102" s="48" t="str">
        <f>+BOTICA!G100</f>
        <v>14/01/2026</v>
      </c>
      <c r="C102" s="49" t="str">
        <f>+BOTICA!B100</f>
        <v>SERIE: 56F20826- POS CONTACTLESS CHIP -  VAUCHER N° 0000288 -  OP: 949584</v>
      </c>
      <c r="D102" s="50">
        <f>+BOTICA!M100</f>
        <v>40</v>
      </c>
      <c r="E102" s="11"/>
      <c r="F102" s="49" t="str">
        <f>+BOTICA!C100</f>
        <v>008426179</v>
      </c>
      <c r="G102" s="51" t="str">
        <f>+BOTICA!A100</f>
        <v>6179-949584</v>
      </c>
      <c r="H102" s="49" t="str">
        <f>+BOTICA!H100</f>
        <v>16:55:00</v>
      </c>
      <c r="I102" s="49" t="str">
        <f>+BOTICA!R100</f>
        <v>0041</v>
      </c>
      <c r="J102" s="11"/>
      <c r="K102" s="49" t="str">
        <f t="shared" si="2"/>
        <v>6179-949584</v>
      </c>
      <c r="L102" s="49" t="str">
        <f t="shared" si="3"/>
        <v>6179-949584 -SERIE: 56F20826- POS CONTACTLESS CHIP -  VAUCHER N° 0000288 -  OP: 949584</v>
      </c>
      <c r="M102" s="5"/>
    </row>
    <row r="103" spans="2:13" x14ac:dyDescent="0.25">
      <c r="B103" s="48" t="str">
        <f>+BOTICA!G101</f>
        <v>14/01/2026</v>
      </c>
      <c r="C103" s="49" t="str">
        <f>+BOTICA!B101</f>
        <v>SERIE: 56F20826- POS CONTACTLESS CHIP -  VAUCHER N° 0000286 -  OP: 017851</v>
      </c>
      <c r="D103" s="50">
        <f>+BOTICA!M101</f>
        <v>107</v>
      </c>
      <c r="E103" s="11"/>
      <c r="F103" s="49" t="str">
        <f>+BOTICA!C101</f>
        <v>008426179</v>
      </c>
      <c r="G103" s="51" t="str">
        <f>+BOTICA!A101</f>
        <v>6179-017851</v>
      </c>
      <c r="H103" s="49" t="str">
        <f>+BOTICA!H101</f>
        <v>15:38:23</v>
      </c>
      <c r="I103" s="49" t="str">
        <f>+BOTICA!R101</f>
        <v>0041</v>
      </c>
      <c r="J103" s="11"/>
      <c r="K103" s="49" t="str">
        <f t="shared" si="2"/>
        <v>6179-017851</v>
      </c>
      <c r="L103" s="49" t="str">
        <f t="shared" si="3"/>
        <v>6179-017851 -SERIE: 56F20826- POS CONTACTLESS CHIP -  VAUCHER N° 0000286 -  OP: 017851</v>
      </c>
      <c r="M103" s="5"/>
    </row>
    <row r="104" spans="2:13" x14ac:dyDescent="0.25">
      <c r="B104" s="48" t="str">
        <f>+BOTICA!G102</f>
        <v>14/01/2026</v>
      </c>
      <c r="C104" s="49" t="str">
        <f>+BOTICA!B102</f>
        <v>SERIE: 56F20826- POS CONTACTLESS CHIP -  VAUCHER N° 0000283 -  OP: 008224</v>
      </c>
      <c r="D104" s="50">
        <f>+BOTICA!M102</f>
        <v>106.55</v>
      </c>
      <c r="E104" s="11"/>
      <c r="F104" s="49" t="str">
        <f>+BOTICA!C102</f>
        <v>008426179</v>
      </c>
      <c r="G104" s="51" t="str">
        <f>+BOTICA!A102</f>
        <v>6179-008224</v>
      </c>
      <c r="H104" s="49" t="str">
        <f>+BOTICA!H102</f>
        <v>13:01:15</v>
      </c>
      <c r="I104" s="49" t="str">
        <f>+BOTICA!R102</f>
        <v>0041</v>
      </c>
      <c r="J104" s="11"/>
      <c r="K104" s="49" t="str">
        <f t="shared" si="2"/>
        <v>6179-008224</v>
      </c>
      <c r="L104" s="49" t="str">
        <f t="shared" si="3"/>
        <v>6179-008224 -SERIE: 56F20826- POS CONTACTLESS CHIP -  VAUCHER N° 0000283 -  OP: 008224</v>
      </c>
      <c r="M104" s="5"/>
    </row>
    <row r="105" spans="2:13" x14ac:dyDescent="0.25">
      <c r="B105" s="48" t="str">
        <f>+BOTICA!G103</f>
        <v>15/01/2026</v>
      </c>
      <c r="C105" s="49" t="str">
        <f>+BOTICA!B103</f>
        <v>SERIE: 56F20826- QPS CONTACTLESS CHIP -  VAUCHER N° 0000294 -  OP: 066938</v>
      </c>
      <c r="D105" s="50">
        <f>+BOTICA!M103</f>
        <v>90</v>
      </c>
      <c r="E105" s="11"/>
      <c r="F105" s="49" t="str">
        <f>+BOTICA!C103</f>
        <v>008426179</v>
      </c>
      <c r="G105" s="51" t="str">
        <f>+BOTICA!A103</f>
        <v>6179-066938</v>
      </c>
      <c r="H105" s="49" t="str">
        <f>+BOTICA!H103</f>
        <v>12:45:42</v>
      </c>
      <c r="I105" s="49" t="str">
        <f>+BOTICA!R103</f>
        <v>0042</v>
      </c>
      <c r="J105" s="11"/>
      <c r="K105" s="49" t="str">
        <f t="shared" si="2"/>
        <v>6179-066938</v>
      </c>
      <c r="L105" s="49" t="str">
        <f t="shared" si="3"/>
        <v>6179-066938 -SERIE: 56F20826- QPS CONTACTLESS CHIP -  VAUCHER N° 0000294 -  OP: 066938</v>
      </c>
      <c r="M105" s="5"/>
    </row>
    <row r="106" spans="2:13" x14ac:dyDescent="0.25">
      <c r="B106" s="48" t="str">
        <f>+BOTICA!G104</f>
        <v>16/01/2026</v>
      </c>
      <c r="C106" s="49" t="str">
        <f>+BOTICA!B104</f>
        <v>SERIE: 56F20826- POS CONTACTLESS CHIP -  VAUCHER N° 0000299 -  OP: 082684</v>
      </c>
      <c r="D106" s="50">
        <f>+BOTICA!M104</f>
        <v>121.01</v>
      </c>
      <c r="E106" s="11"/>
      <c r="F106" s="49" t="str">
        <f>+BOTICA!C104</f>
        <v>008426179</v>
      </c>
      <c r="G106" s="51" t="str">
        <f>+BOTICA!A104</f>
        <v>6179-082684</v>
      </c>
      <c r="H106" s="49" t="str">
        <f>+BOTICA!H104</f>
        <v>16:21:54</v>
      </c>
      <c r="I106" s="49" t="str">
        <f>+BOTICA!R104</f>
        <v>0043</v>
      </c>
      <c r="J106" s="11"/>
      <c r="K106" s="49" t="str">
        <f t="shared" si="2"/>
        <v>6179-082684</v>
      </c>
      <c r="L106" s="49" t="str">
        <f t="shared" si="3"/>
        <v>6179-082684 -SERIE: 56F20826- POS CONTACTLESS CHIP -  VAUCHER N° 0000299 -  OP: 082684</v>
      </c>
      <c r="M106" s="5"/>
    </row>
    <row r="107" spans="2:13" x14ac:dyDescent="0.25">
      <c r="B107" s="48" t="str">
        <f>+BOTICA!G105</f>
        <v>20/01/2026</v>
      </c>
      <c r="C107" s="49" t="str">
        <f>+BOTICA!B105</f>
        <v>SERIE: 56F20826- POS CONTACTLESS CHIP -  VAUCHER N° 0000308 -  OP: 431372</v>
      </c>
      <c r="D107" s="50">
        <f>+BOTICA!M105</f>
        <v>235</v>
      </c>
      <c r="E107" s="11"/>
      <c r="F107" s="49" t="str">
        <f>+BOTICA!C105</f>
        <v>008426179</v>
      </c>
      <c r="G107" s="51" t="str">
        <f>+BOTICA!A105</f>
        <v>6179-431372</v>
      </c>
      <c r="H107" s="49" t="str">
        <f>+BOTICA!H105</f>
        <v>16:03:48</v>
      </c>
      <c r="I107" s="49" t="str">
        <f>+BOTICA!R105</f>
        <v>0044</v>
      </c>
      <c r="J107" s="11"/>
      <c r="K107" s="49" t="str">
        <f t="shared" si="2"/>
        <v>6179-431372</v>
      </c>
      <c r="L107" s="49" t="str">
        <f t="shared" si="3"/>
        <v>6179-431372 -SERIE: 56F20826- POS CONTACTLESS CHIP -  VAUCHER N° 0000308 -  OP: 431372</v>
      </c>
      <c r="M107" s="5"/>
    </row>
    <row r="108" spans="2:13" x14ac:dyDescent="0.25">
      <c r="B108" s="48" t="str">
        <f>+BOTICA!G106</f>
        <v>21/01/2026</v>
      </c>
      <c r="C108" s="49" t="str">
        <f>+BOTICA!B106</f>
        <v>SERIE: MPP002LL3- POS QR -  VAUCHER N° 0042723 -  OP: 438102</v>
      </c>
      <c r="D108" s="50">
        <f>+BOTICA!M106</f>
        <v>80</v>
      </c>
      <c r="E108" s="11"/>
      <c r="F108" s="49" t="str">
        <f>+BOTICA!C106</f>
        <v>008426179</v>
      </c>
      <c r="G108" s="51" t="str">
        <f>+BOTICA!A106</f>
        <v>6179-438102</v>
      </c>
      <c r="H108" s="49" t="str">
        <f>+BOTICA!H106</f>
        <v>10:59:04</v>
      </c>
      <c r="I108" s="49" t="str">
        <f>+BOTICA!R106</f>
        <v>0045</v>
      </c>
      <c r="J108" s="11"/>
      <c r="K108" s="49" t="str">
        <f t="shared" si="2"/>
        <v>6179-438102</v>
      </c>
      <c r="L108" s="49" t="str">
        <f t="shared" si="3"/>
        <v>6179-438102 -SERIE: MPP002LL3- POS QR -  VAUCHER N° 0042723 -  OP: 438102</v>
      </c>
      <c r="M108" s="5"/>
    </row>
    <row r="109" spans="2:13" x14ac:dyDescent="0.25">
      <c r="B109" s="48" t="str">
        <f>+BOTICA!G107</f>
        <v>30/01/2026</v>
      </c>
      <c r="C109" s="49" t="str">
        <f>+BOTICA!B107</f>
        <v>SERIE: 56F20826- POS CONTACTLESS CHIP -  VAUCHER N° 0000326 -  OP: 000388</v>
      </c>
      <c r="D109" s="50">
        <f>+BOTICA!M107</f>
        <v>100.01</v>
      </c>
      <c r="E109" s="11"/>
      <c r="F109" s="49" t="str">
        <f>+BOTICA!C107</f>
        <v>008426179</v>
      </c>
      <c r="G109" s="51" t="str">
        <f>+BOTICA!A107</f>
        <v>6179-000388</v>
      </c>
      <c r="H109" s="49" t="str">
        <f>+BOTICA!H107</f>
        <v>18:35:49</v>
      </c>
      <c r="I109" s="49" t="str">
        <f>+BOTICA!R107</f>
        <v>0046</v>
      </c>
      <c r="J109" s="11"/>
      <c r="K109" s="49" t="str">
        <f t="shared" si="2"/>
        <v>6179-000388</v>
      </c>
      <c r="L109" s="49" t="str">
        <f t="shared" si="3"/>
        <v>6179-000388 -SERIE: 56F20826- POS CONTACTLESS CHIP -  VAUCHER N° 0000326 -  OP: 000388</v>
      </c>
      <c r="M109" s="5"/>
    </row>
    <row r="110" spans="2:13" x14ac:dyDescent="0.25">
      <c r="B110" s="48" t="str">
        <f>+BOTICA!G108</f>
        <v>FECHA DE TRANSACCION</v>
      </c>
      <c r="C110" s="49" t="str">
        <f>+BOTICA!B108</f>
        <v>SERIE: SERIE TERMINAL- TIPO DE CAPTURA -  VAUCHER N° NUM DE REF (VOUCHER) -  OP: CODIGO DE AUTORIZACION</v>
      </c>
      <c r="D110" s="50" t="str">
        <f>+BOTICA!M108</f>
        <v>IMPORTE</v>
      </c>
      <c r="E110" s="11"/>
      <c r="F110" s="49" t="str">
        <f>+BOTICA!C108</f>
        <v>CODIGO</v>
      </c>
      <c r="G110" s="51" t="str">
        <f>+BOTICA!A108</f>
        <v>DIGO-CODIGO DE AUTORIZACION</v>
      </c>
      <c r="H110" s="49" t="str">
        <f>+BOTICA!H108</f>
        <v>HORA DE TRANSACCION</v>
      </c>
      <c r="I110" s="49" t="str">
        <f>+BOTICA!R108</f>
        <v>NUM DE LOTE</v>
      </c>
      <c r="J110" s="11"/>
      <c r="K110" s="49" t="str">
        <f t="shared" si="2"/>
        <v>DIGO-CODIGO DE AUTORIZACION</v>
      </c>
      <c r="L110" s="49" t="str">
        <f t="shared" si="3"/>
        <v>DIGO-CODIGO DE AUTORIZACION -SERIE: SERIE TERMINAL- TIPO DE CAPTURA -  VAUCHER N° NUM DE REF (VOUCHER) -  OP: CODIGO DE AUTORIZACION</v>
      </c>
      <c r="M110" s="5"/>
    </row>
    <row r="111" spans="2:13" x14ac:dyDescent="0.25">
      <c r="B111" s="48" t="str">
        <f>+BOTICA!G109</f>
        <v>02/01/2026</v>
      </c>
      <c r="C111" s="49" t="str">
        <f>+BOTICA!B109</f>
        <v>SERIE: 56E20603- POS CONTACTLESS CHIP -  VAUCHER N° 0000536 -  OP: 234831</v>
      </c>
      <c r="D111" s="50">
        <f>+BOTICA!M109</f>
        <v>41.75</v>
      </c>
      <c r="E111" s="11"/>
      <c r="F111" s="49" t="str">
        <f>+BOTICA!C109</f>
        <v>008426057</v>
      </c>
      <c r="G111" s="51" t="str">
        <f>+BOTICA!A109</f>
        <v>6057-234831</v>
      </c>
      <c r="H111" s="49" t="str">
        <f>+BOTICA!H109</f>
        <v>18:35:44</v>
      </c>
      <c r="I111" s="49" t="str">
        <f>+BOTICA!R109</f>
        <v>0061</v>
      </c>
      <c r="J111" s="11"/>
      <c r="K111" s="49" t="str">
        <f t="shared" si="2"/>
        <v>6057-234831</v>
      </c>
      <c r="L111" s="49" t="str">
        <f t="shared" si="3"/>
        <v>6057-234831 -SERIE: 56E20603- POS CONTACTLESS CHIP -  VAUCHER N° 0000536 -  OP: 234831</v>
      </c>
      <c r="M111" s="5"/>
    </row>
    <row r="112" spans="2:13" x14ac:dyDescent="0.25">
      <c r="B112" s="48" t="str">
        <f>+BOTICA!G110</f>
        <v>05/01/2026</v>
      </c>
      <c r="C112" s="49" t="str">
        <f>+BOTICA!B110</f>
        <v>SERIE: MPP002LL3- POS QR -  VAUCHER N° 6016007 -  OP: 889657</v>
      </c>
      <c r="D112" s="50">
        <f>+BOTICA!M110</f>
        <v>82</v>
      </c>
      <c r="E112" s="11"/>
      <c r="F112" s="49" t="str">
        <f>+BOTICA!C110</f>
        <v>008426057</v>
      </c>
      <c r="G112" s="51" t="str">
        <f>+BOTICA!A110</f>
        <v>6057-889657</v>
      </c>
      <c r="H112" s="49" t="str">
        <f>+BOTICA!H110</f>
        <v>16:23:10</v>
      </c>
      <c r="I112" s="49" t="str">
        <f>+BOTICA!R110</f>
        <v>0062</v>
      </c>
      <c r="J112" s="11"/>
      <c r="K112" s="49" t="str">
        <f t="shared" si="2"/>
        <v>6057-889657</v>
      </c>
      <c r="L112" s="49" t="str">
        <f t="shared" si="3"/>
        <v>6057-889657 -SERIE: MPP002LL3- POS QR -  VAUCHER N° 6016007 -  OP: 889657</v>
      </c>
      <c r="M112" s="5"/>
    </row>
    <row r="113" spans="2:13" x14ac:dyDescent="0.25">
      <c r="B113" s="48" t="str">
        <f>+BOTICA!G111</f>
        <v>06/01/2026</v>
      </c>
      <c r="C113" s="49" t="str">
        <f>+BOTICA!B111</f>
        <v>SERIE: MPP002LL3- POS QR -  VAUCHER N° 7032034 -  OP: 479176</v>
      </c>
      <c r="D113" s="50">
        <f>+BOTICA!M111</f>
        <v>50</v>
      </c>
      <c r="E113" s="11"/>
      <c r="F113" s="49" t="str">
        <f>+BOTICA!C111</f>
        <v>008426057</v>
      </c>
      <c r="G113" s="51" t="str">
        <f>+BOTICA!A111</f>
        <v>6057-479176</v>
      </c>
      <c r="H113" s="49" t="str">
        <f>+BOTICA!H111</f>
        <v>17:43:25</v>
      </c>
      <c r="I113" s="49" t="str">
        <f>+BOTICA!R111</f>
        <v>0063</v>
      </c>
      <c r="J113" s="11"/>
      <c r="K113" s="49" t="str">
        <f t="shared" si="2"/>
        <v>6057-479176</v>
      </c>
      <c r="L113" s="49" t="str">
        <f t="shared" si="3"/>
        <v>6057-479176 -SERIE: MPP002LL3- POS QR -  VAUCHER N° 7032034 -  OP: 479176</v>
      </c>
      <c r="M113" s="5"/>
    </row>
    <row r="114" spans="2:13" x14ac:dyDescent="0.25">
      <c r="B114" s="48" t="str">
        <f>+BOTICA!G112</f>
        <v>06/01/2026</v>
      </c>
      <c r="C114" s="49" t="str">
        <f>+BOTICA!B112</f>
        <v>SERIE: MPP002LL3- POS QR -  VAUCHER N° 0002584 -  OP: 039319</v>
      </c>
      <c r="D114" s="50">
        <f>+BOTICA!M112</f>
        <v>185</v>
      </c>
      <c r="E114" s="11"/>
      <c r="F114" s="49" t="str">
        <f>+BOTICA!C112</f>
        <v>008426057</v>
      </c>
      <c r="G114" s="51" t="str">
        <f>+BOTICA!A112</f>
        <v>6057-039319</v>
      </c>
      <c r="H114" s="49" t="str">
        <f>+BOTICA!H112</f>
        <v>10:05:03</v>
      </c>
      <c r="I114" s="49" t="str">
        <f>+BOTICA!R112</f>
        <v>0063</v>
      </c>
      <c r="J114" s="11"/>
      <c r="K114" s="49" t="str">
        <f t="shared" si="2"/>
        <v>6057-039319</v>
      </c>
      <c r="L114" s="49" t="str">
        <f t="shared" si="3"/>
        <v>6057-039319 -SERIE: MPP002LL3- POS QR -  VAUCHER N° 0002584 -  OP: 039319</v>
      </c>
      <c r="M114" s="5"/>
    </row>
    <row r="115" spans="2:13" x14ac:dyDescent="0.25">
      <c r="B115" s="48" t="str">
        <f>+BOTICA!G113</f>
        <v>07/01/2026</v>
      </c>
      <c r="C115" s="49" t="str">
        <f>+BOTICA!B113</f>
        <v>SERIE: 56E20603- POS CONTACTLESS CHIP -  VAUCHER N° 0000556 -  OP: 044973</v>
      </c>
      <c r="D115" s="50">
        <f>+BOTICA!M113</f>
        <v>78</v>
      </c>
      <c r="E115" s="11"/>
      <c r="F115" s="49" t="str">
        <f>+BOTICA!C113</f>
        <v>008426057</v>
      </c>
      <c r="G115" s="51" t="str">
        <f>+BOTICA!A113</f>
        <v>6057-044973</v>
      </c>
      <c r="H115" s="49" t="str">
        <f>+BOTICA!H113</f>
        <v>15:14:02</v>
      </c>
      <c r="I115" s="49" t="str">
        <f>+BOTICA!R113</f>
        <v>0064</v>
      </c>
      <c r="J115" s="11"/>
      <c r="K115" s="49" t="str">
        <f t="shared" si="2"/>
        <v>6057-044973</v>
      </c>
      <c r="L115" s="49" t="str">
        <f t="shared" si="3"/>
        <v>6057-044973 -SERIE: 56E20603- POS CONTACTLESS CHIP -  VAUCHER N° 0000556 -  OP: 044973</v>
      </c>
      <c r="M115" s="5"/>
    </row>
    <row r="116" spans="2:13" x14ac:dyDescent="0.25">
      <c r="B116" s="48" t="str">
        <f>+BOTICA!G114</f>
        <v>12/01/2026</v>
      </c>
      <c r="C116" s="49" t="str">
        <f>+BOTICA!B114</f>
        <v>SERIE: MPP002LL3- POS QR -  VAUCHER N° 4045603 -  OP: 845405</v>
      </c>
      <c r="D116" s="50">
        <f>+BOTICA!M114</f>
        <v>48</v>
      </c>
      <c r="E116" s="11"/>
      <c r="F116" s="49" t="str">
        <f>+BOTICA!C114</f>
        <v>008426057</v>
      </c>
      <c r="G116" s="51" t="str">
        <f>+BOTICA!A114</f>
        <v>6057-845405</v>
      </c>
      <c r="H116" s="49" t="str">
        <f>+BOTICA!H114</f>
        <v>14:52:19</v>
      </c>
      <c r="I116" s="49" t="str">
        <f>+BOTICA!R114</f>
        <v>0065</v>
      </c>
      <c r="J116" s="11"/>
      <c r="K116" s="49" t="str">
        <f t="shared" si="2"/>
        <v>6057-845405</v>
      </c>
      <c r="L116" s="49" t="str">
        <f t="shared" si="3"/>
        <v>6057-845405 -SERIE: MPP002LL3- POS QR -  VAUCHER N° 4045603 -  OP: 845405</v>
      </c>
      <c r="M116" s="5"/>
    </row>
    <row r="117" spans="2:13" x14ac:dyDescent="0.25">
      <c r="B117" s="48" t="str">
        <f>+BOTICA!G115</f>
        <v>12/01/2026</v>
      </c>
      <c r="C117" s="49" t="str">
        <f>+BOTICA!B115</f>
        <v>SERIE: MPP002LL3- POS QR -  VAUCHER N° 5029107 -  OP: 810606</v>
      </c>
      <c r="D117" s="50">
        <f>+BOTICA!M115</f>
        <v>90</v>
      </c>
      <c r="E117" s="11"/>
      <c r="F117" s="49" t="str">
        <f>+BOTICA!C115</f>
        <v>008426057</v>
      </c>
      <c r="G117" s="51" t="str">
        <f>+BOTICA!A115</f>
        <v>6057-810606</v>
      </c>
      <c r="H117" s="49" t="str">
        <f>+BOTICA!H115</f>
        <v>15:37:13</v>
      </c>
      <c r="I117" s="49" t="str">
        <f>+BOTICA!R115</f>
        <v>0065</v>
      </c>
      <c r="J117" s="11"/>
      <c r="K117" s="49" t="str">
        <f t="shared" si="2"/>
        <v>6057-810606</v>
      </c>
      <c r="L117" s="49" t="str">
        <f t="shared" si="3"/>
        <v>6057-810606 -SERIE: MPP002LL3- POS QR -  VAUCHER N° 5029107 -  OP: 810606</v>
      </c>
      <c r="M117" s="5"/>
    </row>
    <row r="118" spans="2:13" x14ac:dyDescent="0.25">
      <c r="B118" s="48" t="str">
        <f>+BOTICA!G116</f>
        <v>12/01/2026</v>
      </c>
      <c r="C118" s="49" t="str">
        <f>+BOTICA!B116</f>
        <v>SERIE: MPP002LL3- POS QR -  VAUCHER N° 7032809 -  OP: 083182</v>
      </c>
      <c r="D118" s="50">
        <f>+BOTICA!M116</f>
        <v>210</v>
      </c>
      <c r="F118" s="49" t="str">
        <f>+BOTICA!C116</f>
        <v>008426057</v>
      </c>
      <c r="G118" s="51" t="str">
        <f>+BOTICA!A116</f>
        <v>6057-083182</v>
      </c>
      <c r="H118" s="49" t="str">
        <f>+BOTICA!H116</f>
        <v>17:34:50</v>
      </c>
      <c r="I118" s="49" t="str">
        <f>+BOTICA!R116</f>
        <v>0065</v>
      </c>
      <c r="K118" s="49" t="str">
        <f t="shared" si="2"/>
        <v>6057-083182</v>
      </c>
      <c r="L118" s="49" t="str">
        <f t="shared" si="3"/>
        <v>6057-083182 -SERIE: MPP002LL3- POS QR -  VAUCHER N° 7032809 -  OP: 083182</v>
      </c>
    </row>
    <row r="119" spans="2:13" x14ac:dyDescent="0.25">
      <c r="B119" s="48" t="str">
        <f>+BOTICA!G117</f>
        <v>12/01/2026</v>
      </c>
      <c r="C119" s="49" t="str">
        <f>+BOTICA!B117</f>
        <v>SERIE: 56E20603- POS CONTACTLESS CHIP -  VAUCHER N° 0000573 -  OP: 380684</v>
      </c>
      <c r="D119" s="50">
        <f>+BOTICA!M117</f>
        <v>107</v>
      </c>
      <c r="F119" s="49" t="str">
        <f>+BOTICA!C117</f>
        <v>008426057</v>
      </c>
      <c r="G119" s="51" t="str">
        <f>+BOTICA!A117</f>
        <v>6057-380684</v>
      </c>
      <c r="H119" s="49" t="str">
        <f>+BOTICA!H117</f>
        <v>17:40:19</v>
      </c>
      <c r="I119" s="49" t="str">
        <f>+BOTICA!R117</f>
        <v>0065</v>
      </c>
      <c r="K119" s="49" t="str">
        <f t="shared" si="2"/>
        <v>6057-380684</v>
      </c>
      <c r="L119" s="49" t="str">
        <f t="shared" si="3"/>
        <v>6057-380684 -SERIE: 56E20603- POS CONTACTLESS CHIP -  VAUCHER N° 0000573 -  OP: 380684</v>
      </c>
    </row>
    <row r="120" spans="2:13" x14ac:dyDescent="0.25">
      <c r="B120" s="48" t="str">
        <f>+BOTICA!G118</f>
        <v>13/01/2026</v>
      </c>
      <c r="C120" s="49" t="str">
        <f>+BOTICA!B118</f>
        <v>SERIE: MPP002LL3- POS QR -  VAUCHER N° 1029080 -  OP: 149418</v>
      </c>
      <c r="D120" s="50">
        <f>+BOTICA!M118</f>
        <v>18</v>
      </c>
      <c r="F120" s="49" t="str">
        <f>+BOTICA!C118</f>
        <v>008426057</v>
      </c>
      <c r="G120" s="51" t="str">
        <f>+BOTICA!A118</f>
        <v>6057-149418</v>
      </c>
      <c r="H120" s="49" t="str">
        <f>+BOTICA!H118</f>
        <v>11:38:55</v>
      </c>
      <c r="I120" s="49" t="str">
        <f>+BOTICA!R118</f>
        <v>0066</v>
      </c>
      <c r="K120" s="49" t="str">
        <f t="shared" si="2"/>
        <v>6057-149418</v>
      </c>
      <c r="L120" s="49" t="str">
        <f t="shared" si="3"/>
        <v>6057-149418 -SERIE: MPP002LL3- POS QR -  VAUCHER N° 1029080 -  OP: 149418</v>
      </c>
    </row>
    <row r="121" spans="2:13" x14ac:dyDescent="0.25">
      <c r="B121" s="48" t="str">
        <f>+BOTICA!G119</f>
        <v>15/01/2026</v>
      </c>
      <c r="C121" s="49" t="str">
        <f>+BOTICA!B119</f>
        <v>SERIE: MPP002LL3- POS QR -  VAUCHER N° 4039456 -  OP: 205389</v>
      </c>
      <c r="D121" s="50">
        <f>+BOTICA!M119</f>
        <v>60</v>
      </c>
      <c r="F121" s="49" t="str">
        <f>+BOTICA!C119</f>
        <v>008426057</v>
      </c>
      <c r="G121" s="51" t="str">
        <f>+BOTICA!A119</f>
        <v>6057-205389</v>
      </c>
      <c r="H121" s="49" t="str">
        <f>+BOTICA!H119</f>
        <v>14:45:59</v>
      </c>
      <c r="I121" s="49" t="str">
        <f>+BOTICA!R119</f>
        <v>0067</v>
      </c>
      <c r="K121" s="49" t="str">
        <f t="shared" si="2"/>
        <v>6057-205389</v>
      </c>
      <c r="L121" s="49" t="str">
        <f t="shared" si="3"/>
        <v>6057-205389 -SERIE: MPP002LL3- POS QR -  VAUCHER N° 4039456 -  OP: 205389</v>
      </c>
    </row>
    <row r="122" spans="2:13" x14ac:dyDescent="0.25">
      <c r="B122" s="48" t="str">
        <f>+BOTICA!G120</f>
        <v>27/01/2026</v>
      </c>
      <c r="C122" s="49" t="str">
        <f>+BOTICA!B120</f>
        <v>SERIE: MPP002LL3- POS QR -  VAUCHER N° 8051683 -  OP: 011578</v>
      </c>
      <c r="D122" s="50">
        <f>+BOTICA!M120</f>
        <v>30</v>
      </c>
      <c r="F122" s="49" t="str">
        <f>+BOTICA!C120</f>
        <v>008426057</v>
      </c>
      <c r="G122" s="51" t="str">
        <f>+BOTICA!A120</f>
        <v>6057-011578</v>
      </c>
      <c r="H122" s="49" t="str">
        <f>+BOTICA!H120</f>
        <v>18:46:51</v>
      </c>
      <c r="I122" s="49" t="str">
        <f>+BOTICA!R120</f>
        <v>0068</v>
      </c>
      <c r="K122" s="49" t="str">
        <f t="shared" ref="K122:K185" si="4">CONCATENATE(,G122)</f>
        <v>6057-011578</v>
      </c>
      <c r="L122" s="49" t="str">
        <f t="shared" ref="L122:L185" si="5">CONCATENATE(K122," -",C122)</f>
        <v>6057-011578 -SERIE: MPP002LL3- POS QR -  VAUCHER N° 8051683 -  OP: 011578</v>
      </c>
    </row>
    <row r="123" spans="2:13" x14ac:dyDescent="0.25">
      <c r="B123" s="48" t="str">
        <f>+BOTICA!G121</f>
        <v>27/01/2026</v>
      </c>
      <c r="C123" s="49" t="str">
        <f>+BOTICA!B121</f>
        <v>SERIE: 56E20603- POS CHIP EMV -  VAUCHER N° 0000599 -  OP: R03739</v>
      </c>
      <c r="D123" s="50">
        <f>+BOTICA!M121</f>
        <v>368</v>
      </c>
      <c r="F123" s="49" t="str">
        <f>+BOTICA!C121</f>
        <v>008426057</v>
      </c>
      <c r="G123" s="51" t="str">
        <f>+BOTICA!A121</f>
        <v>6057-R03739</v>
      </c>
      <c r="H123" s="49" t="str">
        <f>+BOTICA!H121</f>
        <v>18:36:30</v>
      </c>
      <c r="I123" s="49" t="str">
        <f>+BOTICA!R121</f>
        <v>0068</v>
      </c>
      <c r="K123" s="49" t="str">
        <f t="shared" si="4"/>
        <v>6057-R03739</v>
      </c>
      <c r="L123" s="49" t="str">
        <f t="shared" si="5"/>
        <v>6057-R03739 -SERIE: 56E20603- POS CHIP EMV -  VAUCHER N° 0000599 -  OP: R03739</v>
      </c>
    </row>
    <row r="124" spans="2:13" x14ac:dyDescent="0.25">
      <c r="B124" s="48" t="str">
        <f>+BOTICA!G122</f>
        <v>28/01/2026</v>
      </c>
      <c r="C124" s="49" t="str">
        <f>+BOTICA!B122</f>
        <v>SERIE: MPP002LL3- POS QR -  VAUCHER N° 2000561 -  OP: 096391</v>
      </c>
      <c r="D124" s="50">
        <f>+BOTICA!M122</f>
        <v>44</v>
      </c>
      <c r="F124" s="49" t="str">
        <f>+BOTICA!C122</f>
        <v>008426057</v>
      </c>
      <c r="G124" s="51" t="str">
        <f>+BOTICA!A122</f>
        <v>6057-096391</v>
      </c>
      <c r="H124" s="49" t="str">
        <f>+BOTICA!H122</f>
        <v>12:00:33</v>
      </c>
      <c r="I124" s="49" t="str">
        <f>+BOTICA!R122</f>
        <v>0069</v>
      </c>
      <c r="K124" s="49" t="str">
        <f t="shared" si="4"/>
        <v>6057-096391</v>
      </c>
      <c r="L124" s="49" t="str">
        <f t="shared" si="5"/>
        <v>6057-096391 -SERIE: MPP002LL3- POS QR -  VAUCHER N° 2000561 -  OP: 096391</v>
      </c>
    </row>
    <row r="125" spans="2:13" x14ac:dyDescent="0.25">
      <c r="B125" s="48" t="str">
        <f>+BOTICA!G123</f>
        <v>28/01/2026</v>
      </c>
      <c r="C125" s="49" t="str">
        <f>+BOTICA!B123</f>
        <v>SERIE: MPP002LL3- POS QR -  VAUCHER N° 5015239 -  OP: 368890</v>
      </c>
      <c r="D125" s="50">
        <f>+BOTICA!M123</f>
        <v>48</v>
      </c>
      <c r="F125" s="49" t="str">
        <f>+BOTICA!C123</f>
        <v>008426057</v>
      </c>
      <c r="G125" s="51" t="str">
        <f>+BOTICA!A123</f>
        <v>6057-368890</v>
      </c>
      <c r="H125" s="49" t="str">
        <f>+BOTICA!H123</f>
        <v>15:19:21</v>
      </c>
      <c r="I125" s="49" t="str">
        <f>+BOTICA!R123</f>
        <v>0069</v>
      </c>
      <c r="K125" s="49" t="str">
        <f t="shared" si="4"/>
        <v>6057-368890</v>
      </c>
      <c r="L125" s="49" t="str">
        <f t="shared" si="5"/>
        <v>6057-368890 -SERIE: MPP002LL3- POS QR -  VAUCHER N° 5015239 -  OP: 368890</v>
      </c>
    </row>
    <row r="126" spans="2:13" x14ac:dyDescent="0.25">
      <c r="B126" s="48" t="str">
        <f>+BOTICA!G124</f>
        <v>30/01/2026</v>
      </c>
      <c r="C126" s="49" t="str">
        <f>+BOTICA!B124</f>
        <v>SERIE: MPP002LL3- POS QR -  VAUCHER N° 2043116 -  OP: 060287</v>
      </c>
      <c r="D126" s="50">
        <f>+BOTICA!M124</f>
        <v>142</v>
      </c>
      <c r="F126" s="49" t="str">
        <f>+BOTICA!C124</f>
        <v>008426057</v>
      </c>
      <c r="G126" s="51" t="str">
        <f>+BOTICA!A124</f>
        <v>6057-060287</v>
      </c>
      <c r="H126" s="49" t="str">
        <f>+BOTICA!H124</f>
        <v>12:47:44</v>
      </c>
      <c r="I126" s="49" t="str">
        <f>+BOTICA!R124</f>
        <v>0070</v>
      </c>
      <c r="K126" s="49" t="str">
        <f t="shared" si="4"/>
        <v>6057-060287</v>
      </c>
      <c r="L126" s="49" t="str">
        <f t="shared" si="5"/>
        <v>6057-060287 -SERIE: MPP002LL3- POS QR -  VAUCHER N° 2043116 -  OP: 060287</v>
      </c>
    </row>
    <row r="127" spans="2:13" x14ac:dyDescent="0.25">
      <c r="B127" s="48" t="str">
        <f>+BOTICA!G125</f>
        <v>FECHA DE TRANSACCION</v>
      </c>
      <c r="C127" s="49" t="str">
        <f>+BOTICA!B125</f>
        <v>SERIE: SERIE TERMINAL- TIPO DE CAPTURA -  VAUCHER N° NUM DE REF (VOUCHER) -  OP: CODIGO DE AUTORIZACION</v>
      </c>
      <c r="D127" s="50" t="str">
        <f>+BOTICA!M125</f>
        <v>IMPORTE</v>
      </c>
      <c r="F127" s="49" t="str">
        <f>+BOTICA!C125</f>
        <v>CODIGO</v>
      </c>
      <c r="G127" s="51" t="str">
        <f>+BOTICA!A125</f>
        <v>DIGO-CODIGO DE AUTORIZACION</v>
      </c>
      <c r="H127" s="49" t="str">
        <f>+BOTICA!H125</f>
        <v>HORA DE TRANSACCION</v>
      </c>
      <c r="I127" s="49" t="str">
        <f>+BOTICA!R125</f>
        <v>NUM DE LOTE</v>
      </c>
      <c r="K127" s="49" t="str">
        <f t="shared" si="4"/>
        <v>DIGO-CODIGO DE AUTORIZACION</v>
      </c>
      <c r="L127" s="49" t="str">
        <f t="shared" si="5"/>
        <v>DIGO-CODIGO DE AUTORIZACION -SERIE: SERIE TERMINAL- TIPO DE CAPTURA -  VAUCHER N° NUM DE REF (VOUCHER) -  OP: CODIGO DE AUTORIZACION</v>
      </c>
    </row>
    <row r="128" spans="2:13" x14ac:dyDescent="0.25">
      <c r="B128" s="48" t="str">
        <f>+BOTICA!G126</f>
        <v>02/01/2026</v>
      </c>
      <c r="C128" s="49" t="str">
        <f>+BOTICA!B126</f>
        <v>SERIE: MPP002LL3- POS QR -  VAUCHER N° 2016445 -  OP: 494041</v>
      </c>
      <c r="D128" s="50">
        <f>+BOTICA!M126</f>
        <v>25</v>
      </c>
      <c r="F128" s="49" t="str">
        <f>+BOTICA!C126</f>
        <v>008425658</v>
      </c>
      <c r="G128" s="51" t="str">
        <f>+BOTICA!A126</f>
        <v>5658-494041</v>
      </c>
      <c r="H128" s="49" t="str">
        <f>+BOTICA!H126</f>
        <v>12:23:40</v>
      </c>
      <c r="I128" s="49" t="str">
        <f>+BOTICA!R126</f>
        <v>0193</v>
      </c>
      <c r="K128" s="49" t="str">
        <f t="shared" si="4"/>
        <v>5658-494041</v>
      </c>
      <c r="L128" s="49" t="str">
        <f t="shared" si="5"/>
        <v>5658-494041 -SERIE: MPP002LL3- POS QR -  VAUCHER N° 2016445 -  OP: 494041</v>
      </c>
    </row>
    <row r="129" spans="2:12" x14ac:dyDescent="0.25">
      <c r="B129" s="48" t="str">
        <f>+BOTICA!G127</f>
        <v>05/01/2026</v>
      </c>
      <c r="C129" s="49" t="str">
        <f>+BOTICA!B127</f>
        <v>SERIE: CD818353- POS CONTACTLESS CHIP -  VAUCHER N° 0000598 -  OP: 198588</v>
      </c>
      <c r="D129" s="50">
        <f>+BOTICA!M127</f>
        <v>83</v>
      </c>
      <c r="F129" s="49" t="str">
        <f>+BOTICA!C127</f>
        <v>008425658</v>
      </c>
      <c r="G129" s="51" t="str">
        <f>+BOTICA!A127</f>
        <v>5658-198588</v>
      </c>
      <c r="H129" s="49" t="str">
        <f>+BOTICA!H127</f>
        <v>13:16:41</v>
      </c>
      <c r="I129" s="49" t="str">
        <f>+BOTICA!R127</f>
        <v>0194</v>
      </c>
      <c r="K129" s="49" t="str">
        <f t="shared" si="4"/>
        <v>5658-198588</v>
      </c>
      <c r="L129" s="49" t="str">
        <f t="shared" si="5"/>
        <v>5658-198588 -SERIE: CD818353- POS CONTACTLESS CHIP -  VAUCHER N° 0000598 -  OP: 198588</v>
      </c>
    </row>
    <row r="130" spans="2:12" x14ac:dyDescent="0.25">
      <c r="B130" s="48" t="str">
        <f>+BOTICA!G128</f>
        <v>06/01/2026</v>
      </c>
      <c r="C130" s="49" t="str">
        <f>+BOTICA!B128</f>
        <v>SERIE: CD818353- POS CONTACTLESS CHIP -  VAUCHER N° 0000605 -  OP: 170871</v>
      </c>
      <c r="D130" s="50">
        <f>+BOTICA!M128</f>
        <v>84</v>
      </c>
      <c r="F130" s="49" t="str">
        <f>+BOTICA!C128</f>
        <v>008425658</v>
      </c>
      <c r="G130" s="51" t="str">
        <f>+BOTICA!A128</f>
        <v>5658-170871</v>
      </c>
      <c r="H130" s="49" t="str">
        <f>+BOTICA!H128</f>
        <v>12:27:57</v>
      </c>
      <c r="I130" s="49" t="str">
        <f>+BOTICA!R128</f>
        <v>0195</v>
      </c>
      <c r="K130" s="49" t="str">
        <f t="shared" si="4"/>
        <v>5658-170871</v>
      </c>
      <c r="L130" s="49" t="str">
        <f t="shared" si="5"/>
        <v>5658-170871 -SERIE: CD818353- POS CONTACTLESS CHIP -  VAUCHER N° 0000605 -  OP: 170871</v>
      </c>
    </row>
    <row r="131" spans="2:12" x14ac:dyDescent="0.25">
      <c r="B131" s="48" t="str">
        <f>+BOTICA!G129</f>
        <v>06/01/2026</v>
      </c>
      <c r="C131" s="49" t="str">
        <f>+BOTICA!B129</f>
        <v>SERIE: CD818353- POS CONTACTLESS CHIP -  VAUCHER N° 0000603 -  OP: 003956</v>
      </c>
      <c r="D131" s="50">
        <f>+BOTICA!M129</f>
        <v>78</v>
      </c>
      <c r="F131" s="49" t="str">
        <f>+BOTICA!C129</f>
        <v>008425658</v>
      </c>
      <c r="G131" s="51" t="str">
        <f>+BOTICA!A129</f>
        <v>5658-003956</v>
      </c>
      <c r="H131" s="49" t="str">
        <f>+BOTICA!H129</f>
        <v>12:21:26</v>
      </c>
      <c r="I131" s="49" t="str">
        <f>+BOTICA!R129</f>
        <v>0195</v>
      </c>
      <c r="K131" s="49" t="str">
        <f t="shared" si="4"/>
        <v>5658-003956</v>
      </c>
      <c r="L131" s="49" t="str">
        <f t="shared" si="5"/>
        <v>5658-003956 -SERIE: CD818353- POS CONTACTLESS CHIP -  VAUCHER N° 0000603 -  OP: 003956</v>
      </c>
    </row>
    <row r="132" spans="2:12" x14ac:dyDescent="0.25">
      <c r="B132" s="48" t="str">
        <f>+BOTICA!G130</f>
        <v>07/01/2026</v>
      </c>
      <c r="C132" s="49" t="str">
        <f>+BOTICA!B130</f>
        <v>SERIE: CD818353- POS CONTACTLESS CHIP -  VAUCHER N° 0000615 -  OP: 308494</v>
      </c>
      <c r="D132" s="50">
        <f>+BOTICA!M130</f>
        <v>71.55</v>
      </c>
      <c r="F132" s="49" t="str">
        <f>+BOTICA!C130</f>
        <v>008425658</v>
      </c>
      <c r="G132" s="51" t="str">
        <f>+BOTICA!A130</f>
        <v>5658-308494</v>
      </c>
      <c r="H132" s="49" t="str">
        <f>+BOTICA!H130</f>
        <v>18:09:46</v>
      </c>
      <c r="I132" s="49" t="str">
        <f>+BOTICA!R130</f>
        <v>0196</v>
      </c>
      <c r="K132" s="49" t="str">
        <f t="shared" si="4"/>
        <v>5658-308494</v>
      </c>
      <c r="L132" s="49" t="str">
        <f t="shared" si="5"/>
        <v>5658-308494 -SERIE: CD818353- POS CONTACTLESS CHIP -  VAUCHER N° 0000615 -  OP: 308494</v>
      </c>
    </row>
    <row r="133" spans="2:12" x14ac:dyDescent="0.25">
      <c r="B133" s="48" t="str">
        <f>+BOTICA!G131</f>
        <v>07/01/2026</v>
      </c>
      <c r="C133" s="49" t="str">
        <f>+BOTICA!B131</f>
        <v>SERIE: CD818353- POS CHIP EMV -  VAUCHER N° 0000613 -  OP: R06481</v>
      </c>
      <c r="D133" s="50">
        <f>+BOTICA!M131</f>
        <v>118.8</v>
      </c>
      <c r="F133" s="49" t="str">
        <f>+BOTICA!C131</f>
        <v>008425658</v>
      </c>
      <c r="G133" s="51" t="str">
        <f>+BOTICA!A131</f>
        <v>5658-R06481</v>
      </c>
      <c r="H133" s="49" t="str">
        <f>+BOTICA!H131</f>
        <v>12:45:03</v>
      </c>
      <c r="I133" s="49" t="str">
        <f>+BOTICA!R131</f>
        <v>0196</v>
      </c>
      <c r="K133" s="49" t="str">
        <f t="shared" si="4"/>
        <v>5658-R06481</v>
      </c>
      <c r="L133" s="49" t="str">
        <f t="shared" si="5"/>
        <v>5658-R06481 -SERIE: CD818353- POS CHIP EMV -  VAUCHER N° 0000613 -  OP: R06481</v>
      </c>
    </row>
    <row r="134" spans="2:12" x14ac:dyDescent="0.25">
      <c r="B134" s="48" t="str">
        <f>+BOTICA!G132</f>
        <v>12/01/2026</v>
      </c>
      <c r="C134" s="49" t="str">
        <f>+BOTICA!B132</f>
        <v>SERIE: MPP002LL3- POS QR -  VAUCHER N° 2000963 -  OP: 627059</v>
      </c>
      <c r="D134" s="50">
        <f>+BOTICA!M132</f>
        <v>85</v>
      </c>
      <c r="F134" s="49" t="str">
        <f>+BOTICA!C132</f>
        <v>008425658</v>
      </c>
      <c r="G134" s="51" t="str">
        <f>+BOTICA!A132</f>
        <v>5658-627059</v>
      </c>
      <c r="H134" s="49" t="str">
        <f>+BOTICA!H132</f>
        <v>12:00:55</v>
      </c>
      <c r="I134" s="49" t="str">
        <f>+BOTICA!R132</f>
        <v>0197</v>
      </c>
      <c r="K134" s="49" t="str">
        <f t="shared" si="4"/>
        <v>5658-627059</v>
      </c>
      <c r="L134" s="49" t="str">
        <f t="shared" si="5"/>
        <v>5658-627059 -SERIE: MPP002LL3- POS QR -  VAUCHER N° 2000963 -  OP: 627059</v>
      </c>
    </row>
    <row r="135" spans="2:12" x14ac:dyDescent="0.25">
      <c r="B135" s="48" t="str">
        <f>+BOTICA!G133</f>
        <v>14/01/2026</v>
      </c>
      <c r="C135" s="49" t="str">
        <f>+BOTICA!B133</f>
        <v>SERIE: CD818353- POS CONTACTLESS CHIP -  VAUCHER N° 0000630 -  OP: 026919</v>
      </c>
      <c r="D135" s="50">
        <f>+BOTICA!M133</f>
        <v>25</v>
      </c>
      <c r="F135" s="49" t="str">
        <f>+BOTICA!C133</f>
        <v>008425658</v>
      </c>
      <c r="G135" s="51" t="str">
        <f>+BOTICA!A133</f>
        <v>5658-026919</v>
      </c>
      <c r="H135" s="49" t="str">
        <f>+BOTICA!H133</f>
        <v>18:21:04</v>
      </c>
      <c r="I135" s="49" t="str">
        <f>+BOTICA!R133</f>
        <v>0198</v>
      </c>
      <c r="K135" s="49" t="str">
        <f t="shared" si="4"/>
        <v>5658-026919</v>
      </c>
      <c r="L135" s="49" t="str">
        <f t="shared" si="5"/>
        <v>5658-026919 -SERIE: CD818353- POS CONTACTLESS CHIP -  VAUCHER N° 0000630 -  OP: 026919</v>
      </c>
    </row>
    <row r="136" spans="2:12" x14ac:dyDescent="0.25">
      <c r="B136" s="48" t="str">
        <f>+BOTICA!G134</f>
        <v>14/01/2026</v>
      </c>
      <c r="C136" s="49" t="str">
        <f>+BOTICA!B134</f>
        <v>SERIE: CD818353- POS CONTACTLESS CHIP -  VAUCHER N° 0000628 -  OP: 057478</v>
      </c>
      <c r="D136" s="50">
        <f>+BOTICA!M134</f>
        <v>144.44999999999999</v>
      </c>
      <c r="F136" s="49" t="str">
        <f>+BOTICA!C134</f>
        <v>008425658</v>
      </c>
      <c r="G136" s="51" t="str">
        <f>+BOTICA!A134</f>
        <v>5658-057478</v>
      </c>
      <c r="H136" s="49" t="str">
        <f>+BOTICA!H134</f>
        <v>16:29:39</v>
      </c>
      <c r="I136" s="49" t="str">
        <f>+BOTICA!R134</f>
        <v>0198</v>
      </c>
      <c r="K136" s="49" t="str">
        <f t="shared" si="4"/>
        <v>5658-057478</v>
      </c>
      <c r="L136" s="49" t="str">
        <f t="shared" si="5"/>
        <v>5658-057478 -SERIE: CD818353- POS CONTACTLESS CHIP -  VAUCHER N° 0000628 -  OP: 057478</v>
      </c>
    </row>
    <row r="137" spans="2:12" x14ac:dyDescent="0.25">
      <c r="B137" s="48" t="str">
        <f>+BOTICA!G135</f>
        <v>15/01/2026</v>
      </c>
      <c r="C137" s="49" t="str">
        <f>+BOTICA!B135</f>
        <v>SERIE: CD818353- POS CONTACTLESS CHIP -  VAUCHER N° 0000637 -  OP: 397701</v>
      </c>
      <c r="D137" s="50">
        <f>+BOTICA!M135</f>
        <v>35</v>
      </c>
      <c r="F137" s="49" t="str">
        <f>+BOTICA!C135</f>
        <v>008425658</v>
      </c>
      <c r="G137" s="51" t="str">
        <f>+BOTICA!A135</f>
        <v>5658-397701</v>
      </c>
      <c r="H137" s="49" t="str">
        <f>+BOTICA!H135</f>
        <v>17:03:16</v>
      </c>
      <c r="I137" s="49" t="str">
        <f>+BOTICA!R135</f>
        <v>0199</v>
      </c>
      <c r="K137" s="49" t="str">
        <f t="shared" si="4"/>
        <v>5658-397701</v>
      </c>
      <c r="L137" s="49" t="str">
        <f t="shared" si="5"/>
        <v>5658-397701 -SERIE: CD818353- POS CONTACTLESS CHIP -  VAUCHER N° 0000637 -  OP: 397701</v>
      </c>
    </row>
    <row r="138" spans="2:12" x14ac:dyDescent="0.25">
      <c r="B138" s="48" t="str">
        <f>+BOTICA!G136</f>
        <v>15/01/2026</v>
      </c>
      <c r="C138" s="49" t="str">
        <f>+BOTICA!B136</f>
        <v>SERIE: CD818353- POS CONTACTLESS CHIP -  VAUCHER N° 0000635 -  OP: 008070</v>
      </c>
      <c r="D138" s="50">
        <f>+BOTICA!M136</f>
        <v>155</v>
      </c>
      <c r="F138" s="49" t="str">
        <f>+BOTICA!C136</f>
        <v>008425658</v>
      </c>
      <c r="G138" s="51" t="str">
        <f>+BOTICA!A136</f>
        <v>5658-008070</v>
      </c>
      <c r="H138" s="49" t="str">
        <f>+BOTICA!H136</f>
        <v>12:42:08</v>
      </c>
      <c r="I138" s="49" t="str">
        <f>+BOTICA!R136</f>
        <v>0199</v>
      </c>
      <c r="K138" s="49" t="str">
        <f t="shared" si="4"/>
        <v>5658-008070</v>
      </c>
      <c r="L138" s="49" t="str">
        <f t="shared" si="5"/>
        <v>5658-008070 -SERIE: CD818353- POS CONTACTLESS CHIP -  VAUCHER N° 0000635 -  OP: 008070</v>
      </c>
    </row>
    <row r="139" spans="2:12" x14ac:dyDescent="0.25">
      <c r="B139" s="48" t="str">
        <f>+BOTICA!G137</f>
        <v>19/01/2026</v>
      </c>
      <c r="C139" s="49" t="str">
        <f>+BOTICA!B137</f>
        <v>SERIE: MPP002LL3- POS QR -  VAUCHER N° 7002844 -  OP: 087040</v>
      </c>
      <c r="D139" s="50">
        <f>+BOTICA!M137</f>
        <v>158.4</v>
      </c>
      <c r="F139" s="49" t="str">
        <f>+BOTICA!C137</f>
        <v>008425658</v>
      </c>
      <c r="G139" s="51" t="str">
        <f>+BOTICA!A137</f>
        <v>5658-087040</v>
      </c>
      <c r="H139" s="49" t="str">
        <f>+BOTICA!H137</f>
        <v>17:03:06</v>
      </c>
      <c r="I139" s="49" t="str">
        <f>+BOTICA!R137</f>
        <v>0200</v>
      </c>
      <c r="K139" s="49" t="str">
        <f t="shared" si="4"/>
        <v>5658-087040</v>
      </c>
      <c r="L139" s="49" t="str">
        <f t="shared" si="5"/>
        <v>5658-087040 -SERIE: MPP002LL3- POS QR -  VAUCHER N° 7002844 -  OP: 087040</v>
      </c>
    </row>
    <row r="140" spans="2:12" x14ac:dyDescent="0.25">
      <c r="B140" s="48" t="str">
        <f>+BOTICA!G138</f>
        <v>20/01/2026</v>
      </c>
      <c r="C140" s="49" t="str">
        <f>+BOTICA!B138</f>
        <v>SERIE: MPP002LL3- POS QR -  VAUCHER N° 9006497 -  OP: 947348</v>
      </c>
      <c r="D140" s="50">
        <f>+BOTICA!M138</f>
        <v>50</v>
      </c>
      <c r="F140" s="49" t="str">
        <f>+BOTICA!C138</f>
        <v>008425658</v>
      </c>
      <c r="G140" s="51" t="str">
        <f>+BOTICA!A138</f>
        <v>5658-947348</v>
      </c>
      <c r="H140" s="49" t="str">
        <f>+BOTICA!H138</f>
        <v>09:11:47</v>
      </c>
      <c r="I140" s="49" t="str">
        <f>+BOTICA!R138</f>
        <v>0201</v>
      </c>
      <c r="K140" s="49" t="str">
        <f t="shared" si="4"/>
        <v>5658-947348</v>
      </c>
      <c r="L140" s="49" t="str">
        <f t="shared" si="5"/>
        <v>5658-947348 -SERIE: MPP002LL3- POS QR -  VAUCHER N° 9006497 -  OP: 947348</v>
      </c>
    </row>
    <row r="141" spans="2:12" x14ac:dyDescent="0.25">
      <c r="B141" s="48" t="str">
        <f>+BOTICA!G139</f>
        <v>21/01/2026</v>
      </c>
      <c r="C141" s="49" t="str">
        <f>+BOTICA!B139</f>
        <v>SERIE: CD818353- POS CONTACTLESS CHIP -  VAUCHER N° 0000655 -  OP: 654954</v>
      </c>
      <c r="D141" s="50">
        <f>+BOTICA!M139</f>
        <v>180</v>
      </c>
      <c r="F141" s="49" t="str">
        <f>+BOTICA!C139</f>
        <v>008425658</v>
      </c>
      <c r="G141" s="51" t="str">
        <f>+BOTICA!A139</f>
        <v>5658-654954</v>
      </c>
      <c r="H141" s="49" t="str">
        <f>+BOTICA!H139</f>
        <v>12:32:17</v>
      </c>
      <c r="I141" s="49" t="str">
        <f>+BOTICA!R139</f>
        <v>0202</v>
      </c>
      <c r="K141" s="49" t="str">
        <f t="shared" si="4"/>
        <v>5658-654954</v>
      </c>
      <c r="L141" s="49" t="str">
        <f t="shared" si="5"/>
        <v>5658-654954 -SERIE: CD818353- POS CONTACTLESS CHIP -  VAUCHER N° 0000655 -  OP: 654954</v>
      </c>
    </row>
    <row r="142" spans="2:12" x14ac:dyDescent="0.25">
      <c r="B142" s="48" t="str">
        <f>+BOTICA!G140</f>
        <v>23/01/2026</v>
      </c>
      <c r="C142" s="49" t="str">
        <f>+BOTICA!B140</f>
        <v>SERIE: MPP002LL3- POS QR -  VAUCHER N° 2050715 -  OP: 356992</v>
      </c>
      <c r="D142" s="50">
        <f>+BOTICA!M140</f>
        <v>103</v>
      </c>
      <c r="F142" s="49" t="str">
        <f>+BOTICA!C140</f>
        <v>008425658</v>
      </c>
      <c r="G142" s="51" t="str">
        <f>+BOTICA!A140</f>
        <v>5658-356992</v>
      </c>
      <c r="H142" s="49" t="str">
        <f>+BOTICA!H140</f>
        <v>12:57:16</v>
      </c>
      <c r="I142" s="49" t="str">
        <f>+BOTICA!R140</f>
        <v>0203</v>
      </c>
      <c r="K142" s="49" t="str">
        <f t="shared" si="4"/>
        <v>5658-356992</v>
      </c>
      <c r="L142" s="49" t="str">
        <f t="shared" si="5"/>
        <v>5658-356992 -SERIE: MPP002LL3- POS QR -  VAUCHER N° 2050715 -  OP: 356992</v>
      </c>
    </row>
    <row r="143" spans="2:12" x14ac:dyDescent="0.25">
      <c r="B143" s="48" t="str">
        <f>+BOTICA!G141</f>
        <v>23/01/2026</v>
      </c>
      <c r="C143" s="49" t="str">
        <f>+BOTICA!B141</f>
        <v>SERIE: MPP002LL3- POS QR -  VAUCHER N° 3012219 -  OP: 554924</v>
      </c>
      <c r="D143" s="50">
        <f>+BOTICA!M141</f>
        <v>368.62</v>
      </c>
      <c r="F143" s="49" t="str">
        <f>+BOTICA!C141</f>
        <v>008425658</v>
      </c>
      <c r="G143" s="51" t="str">
        <f>+BOTICA!A141</f>
        <v>5658-554924</v>
      </c>
      <c r="H143" s="49" t="str">
        <f>+BOTICA!H141</f>
        <v>13:12:07</v>
      </c>
      <c r="I143" s="49" t="str">
        <f>+BOTICA!R141</f>
        <v>0203</v>
      </c>
      <c r="K143" s="49" t="str">
        <f t="shared" si="4"/>
        <v>5658-554924</v>
      </c>
      <c r="L143" s="49" t="str">
        <f t="shared" si="5"/>
        <v>5658-554924 -SERIE: MPP002LL3- POS QR -  VAUCHER N° 3012219 -  OP: 554924</v>
      </c>
    </row>
    <row r="144" spans="2:12" x14ac:dyDescent="0.25">
      <c r="B144" s="48" t="str">
        <f>+BOTICA!G142</f>
        <v>26/01/2026</v>
      </c>
      <c r="C144" s="49" t="str">
        <f>+BOTICA!B142</f>
        <v>SERIE: MPP002LL3- POS QR -  VAUCHER N° 2053654 -  OP: 633633</v>
      </c>
      <c r="D144" s="50">
        <f>+BOTICA!M142</f>
        <v>55</v>
      </c>
      <c r="F144" s="49" t="str">
        <f>+BOTICA!C142</f>
        <v>008425658</v>
      </c>
      <c r="G144" s="51" t="str">
        <f>+BOTICA!A142</f>
        <v>5658-633633</v>
      </c>
      <c r="H144" s="49" t="str">
        <f>+BOTICA!H142</f>
        <v>12:58:34</v>
      </c>
      <c r="I144" s="49" t="str">
        <f>+BOTICA!R142</f>
        <v>0204</v>
      </c>
      <c r="K144" s="49" t="str">
        <f t="shared" si="4"/>
        <v>5658-633633</v>
      </c>
      <c r="L144" s="49" t="str">
        <f t="shared" si="5"/>
        <v>5658-633633 -SERIE: MPP002LL3- POS QR -  VAUCHER N° 2053654 -  OP: 633633</v>
      </c>
    </row>
    <row r="145" spans="2:12" x14ac:dyDescent="0.25">
      <c r="B145" s="48" t="str">
        <f>+BOTICA!G143</f>
        <v>27/01/2026</v>
      </c>
      <c r="C145" s="49" t="str">
        <f>+BOTICA!B143</f>
        <v>SERIE: CD818353- POS CONTACTLESS CHIP -  VAUCHER N° 0000680 -  OP: 535527</v>
      </c>
      <c r="D145" s="50">
        <f>+BOTICA!M143</f>
        <v>86</v>
      </c>
      <c r="F145" s="49" t="str">
        <f>+BOTICA!C143</f>
        <v>008425658</v>
      </c>
      <c r="G145" s="51" t="str">
        <f>+BOTICA!A143</f>
        <v>5658-535527</v>
      </c>
      <c r="H145" s="49" t="str">
        <f>+BOTICA!H143</f>
        <v>18:50:29</v>
      </c>
      <c r="I145" s="49" t="str">
        <f>+BOTICA!R143</f>
        <v>0205</v>
      </c>
      <c r="K145" s="49" t="str">
        <f t="shared" si="4"/>
        <v>5658-535527</v>
      </c>
      <c r="L145" s="49" t="str">
        <f t="shared" si="5"/>
        <v>5658-535527 -SERIE: CD818353- POS CONTACTLESS CHIP -  VAUCHER N° 0000680 -  OP: 535527</v>
      </c>
    </row>
    <row r="146" spans="2:12" x14ac:dyDescent="0.25">
      <c r="B146" s="48" t="str">
        <f>+BOTICA!G144</f>
        <v>27/01/2026</v>
      </c>
      <c r="C146" s="49" t="str">
        <f>+BOTICA!B144</f>
        <v>SERIE: CD818353- POS CONTACTLESS CHIP -  VAUCHER N° 0000678 -  OP: 649874</v>
      </c>
      <c r="D146" s="50">
        <f>+BOTICA!M144</f>
        <v>25</v>
      </c>
      <c r="F146" s="49" t="str">
        <f>+BOTICA!C144</f>
        <v>008425658</v>
      </c>
      <c r="G146" s="51" t="str">
        <f>+BOTICA!A144</f>
        <v>5658-649874</v>
      </c>
      <c r="H146" s="49" t="str">
        <f>+BOTICA!H144</f>
        <v>16:41:18</v>
      </c>
      <c r="I146" s="49" t="str">
        <f>+BOTICA!R144</f>
        <v>0205</v>
      </c>
      <c r="K146" s="49" t="str">
        <f t="shared" si="4"/>
        <v>5658-649874</v>
      </c>
      <c r="L146" s="49" t="str">
        <f t="shared" si="5"/>
        <v>5658-649874 -SERIE: CD818353- POS CONTACTLESS CHIP -  VAUCHER N° 0000678 -  OP: 649874</v>
      </c>
    </row>
    <row r="147" spans="2:12" x14ac:dyDescent="0.25">
      <c r="B147" s="48" t="str">
        <f>+BOTICA!G145</f>
        <v>28/01/2026</v>
      </c>
      <c r="C147" s="49" t="str">
        <f>+BOTICA!B145</f>
        <v>SERIE: CD818353- POS CONTACTLESS CHIP -  VAUCHER N° 0000685 -  OP: 200459</v>
      </c>
      <c r="D147" s="50">
        <f>+BOTICA!M145</f>
        <v>35</v>
      </c>
      <c r="F147" s="49" t="str">
        <f>+BOTICA!C145</f>
        <v>008425658</v>
      </c>
      <c r="G147" s="51" t="str">
        <f>+BOTICA!A145</f>
        <v>5658-200459</v>
      </c>
      <c r="H147" s="49" t="str">
        <f>+BOTICA!H145</f>
        <v>09:41:08</v>
      </c>
      <c r="I147" s="49" t="str">
        <f>+BOTICA!R145</f>
        <v>0206</v>
      </c>
      <c r="K147" s="49" t="str">
        <f t="shared" si="4"/>
        <v>5658-200459</v>
      </c>
      <c r="L147" s="49" t="str">
        <f t="shared" si="5"/>
        <v>5658-200459 -SERIE: CD818353- POS CONTACTLESS CHIP -  VAUCHER N° 0000685 -  OP: 200459</v>
      </c>
    </row>
    <row r="148" spans="2:12" x14ac:dyDescent="0.25">
      <c r="B148" s="48" t="str">
        <f>+BOTICA!G146</f>
        <v>30/01/2026</v>
      </c>
      <c r="C148" s="49" t="str">
        <f>+BOTICA!B146</f>
        <v>SERIE: MPP002LL3- POS QR -  VAUCHER N° 1011943 -  OP: 285514</v>
      </c>
      <c r="D148" s="50">
        <f>+BOTICA!M146</f>
        <v>35</v>
      </c>
      <c r="F148" s="49" t="str">
        <f>+BOTICA!C146</f>
        <v>008425658</v>
      </c>
      <c r="G148" s="51" t="str">
        <f>+BOTICA!A146</f>
        <v>5658-285514</v>
      </c>
      <c r="H148" s="49" t="str">
        <f>+BOTICA!H146</f>
        <v>20:55:46</v>
      </c>
      <c r="I148" s="49" t="str">
        <f>+BOTICA!R146</f>
        <v>0207</v>
      </c>
      <c r="K148" s="49" t="str">
        <f t="shared" si="4"/>
        <v>5658-285514</v>
      </c>
      <c r="L148" s="49" t="str">
        <f t="shared" si="5"/>
        <v>5658-285514 -SERIE: MPP002LL3- POS QR -  VAUCHER N° 1011943 -  OP: 285514</v>
      </c>
    </row>
    <row r="149" spans="2:12" x14ac:dyDescent="0.25">
      <c r="B149" s="48" t="str">
        <f>+BOTICA!G147</f>
        <v>30/01/2026</v>
      </c>
      <c r="C149" s="49" t="str">
        <f>+BOTICA!B147</f>
        <v>SERIE: MPP002LL3- POS QR -  VAUCHER N° 4038454 -  OP: 795953</v>
      </c>
      <c r="D149" s="50">
        <f>+BOTICA!M147</f>
        <v>40</v>
      </c>
      <c r="F149" s="49" t="str">
        <f>+BOTICA!C147</f>
        <v>008425658</v>
      </c>
      <c r="G149" s="51" t="str">
        <f>+BOTICA!A147</f>
        <v>5658-795953</v>
      </c>
      <c r="H149" s="49" t="str">
        <f>+BOTICA!H147</f>
        <v>14:41:57</v>
      </c>
      <c r="I149" s="49" t="str">
        <f>+BOTICA!R147</f>
        <v>0207</v>
      </c>
      <c r="K149" s="49" t="str">
        <f t="shared" si="4"/>
        <v>5658-795953</v>
      </c>
      <c r="L149" s="49" t="str">
        <f t="shared" si="5"/>
        <v>5658-795953 -SERIE: MPP002LL3- POS QR -  VAUCHER N° 4038454 -  OP: 795953</v>
      </c>
    </row>
    <row r="150" spans="2:12" x14ac:dyDescent="0.25">
      <c r="B150" s="48" t="str">
        <f>+BOTICA!G148</f>
        <v>FECHA DE TRANSACCION</v>
      </c>
      <c r="C150" s="49" t="str">
        <f>+BOTICA!B148</f>
        <v>SERIE: SERIE TERMINAL- TIPO DE CAPTURA -  VAUCHER N° NUM DE REF (VOUCHER) -  OP: CODIGO DE AUTORIZACION</v>
      </c>
      <c r="D150" s="50" t="str">
        <f>+BOTICA!M148</f>
        <v>IMPORTE</v>
      </c>
      <c r="F150" s="49" t="str">
        <f>+BOTICA!C148</f>
        <v>CODIGO</v>
      </c>
      <c r="G150" s="51" t="str">
        <f>+BOTICA!A148</f>
        <v>DIGO-CODIGO DE AUTORIZACION</v>
      </c>
      <c r="H150" s="49" t="str">
        <f>+BOTICA!H148</f>
        <v>HORA DE TRANSACCION</v>
      </c>
      <c r="I150" s="49" t="str">
        <f>+BOTICA!R148</f>
        <v>NUM DE LOTE</v>
      </c>
      <c r="K150" s="49" t="str">
        <f t="shared" si="4"/>
        <v>DIGO-CODIGO DE AUTORIZACION</v>
      </c>
      <c r="L150" s="49" t="str">
        <f t="shared" si="5"/>
        <v>DIGO-CODIGO DE AUTORIZACION -SERIE: SERIE TERMINAL- TIPO DE CAPTURA -  VAUCHER N° NUM DE REF (VOUCHER) -  OP: CODIGO DE AUTORIZACION</v>
      </c>
    </row>
    <row r="151" spans="2:12" x14ac:dyDescent="0.25">
      <c r="B151" s="48" t="str">
        <f>+BOTICA!G149</f>
        <v>08/01/2026</v>
      </c>
      <c r="C151" s="49" t="str">
        <f>+BOTICA!B149</f>
        <v>SERIE: 57921007- QPS CONTACTLESS CHIP -  VAUCHER N° 0000006 -  OP: 230476</v>
      </c>
      <c r="D151" s="50">
        <f>+BOTICA!M149</f>
        <v>70</v>
      </c>
      <c r="F151" s="49" t="str">
        <f>+BOTICA!C149</f>
        <v>008425662</v>
      </c>
      <c r="G151" s="51" t="str">
        <f>+BOTICA!A149</f>
        <v>5662-230476</v>
      </c>
      <c r="H151" s="49" t="str">
        <f>+BOTICA!H149</f>
        <v>15:22:57</v>
      </c>
      <c r="I151" s="49" t="str">
        <f>+BOTICA!R149</f>
        <v>0001</v>
      </c>
      <c r="K151" s="49" t="str">
        <f t="shared" si="4"/>
        <v>5662-230476</v>
      </c>
      <c r="L151" s="49" t="str">
        <f t="shared" si="5"/>
        <v>5662-230476 -SERIE: 57921007- QPS CONTACTLESS CHIP -  VAUCHER N° 0000006 -  OP: 230476</v>
      </c>
    </row>
    <row r="152" spans="2:12" x14ac:dyDescent="0.25">
      <c r="B152" s="48">
        <f>+BOTICA!G150</f>
        <v>0</v>
      </c>
      <c r="C152" s="49">
        <f>+BOTICA!B150</f>
        <v>0</v>
      </c>
      <c r="D152" s="50">
        <f>+BOTICA!M150</f>
        <v>0</v>
      </c>
      <c r="F152" s="49">
        <f>+BOTICA!C150</f>
        <v>0</v>
      </c>
      <c r="G152" s="51">
        <f>+BOTICA!A150</f>
        <v>0</v>
      </c>
      <c r="H152" s="49">
        <f>+BOTICA!H150</f>
        <v>0</v>
      </c>
      <c r="I152" s="49">
        <f>+BOTICA!R150</f>
        <v>0</v>
      </c>
      <c r="K152" s="49" t="str">
        <f t="shared" si="4"/>
        <v>0</v>
      </c>
      <c r="L152" s="49" t="str">
        <f t="shared" si="5"/>
        <v>0 -0</v>
      </c>
    </row>
    <row r="153" spans="2:12" x14ac:dyDescent="0.25">
      <c r="B153" s="48">
        <f>+BOTICA!G151</f>
        <v>0</v>
      </c>
      <c r="C153" s="49">
        <f>+BOTICA!B151</f>
        <v>0</v>
      </c>
      <c r="D153" s="50">
        <f>+BOTICA!M151</f>
        <v>0</v>
      </c>
      <c r="F153" s="49">
        <f>+BOTICA!C151</f>
        <v>0</v>
      </c>
      <c r="G153" s="51">
        <f>+BOTICA!A151</f>
        <v>0</v>
      </c>
      <c r="H153" s="49">
        <f>+BOTICA!H151</f>
        <v>0</v>
      </c>
      <c r="I153" s="49">
        <f>+BOTICA!R151</f>
        <v>0</v>
      </c>
      <c r="K153" s="49" t="str">
        <f t="shared" si="4"/>
        <v>0</v>
      </c>
      <c r="L153" s="49" t="str">
        <f t="shared" si="5"/>
        <v>0 -0</v>
      </c>
    </row>
    <row r="154" spans="2:12" x14ac:dyDescent="0.25">
      <c r="B154" s="48">
        <f>+BOTICA!G152</f>
        <v>0</v>
      </c>
      <c r="C154" s="49">
        <f>+BOTICA!B152</f>
        <v>0</v>
      </c>
      <c r="D154" s="50">
        <f>+BOTICA!M152</f>
        <v>0</v>
      </c>
      <c r="F154" s="49">
        <f>+BOTICA!C152</f>
        <v>0</v>
      </c>
      <c r="G154" s="51">
        <f>+BOTICA!A152</f>
        <v>0</v>
      </c>
      <c r="H154" s="49">
        <f>+BOTICA!H152</f>
        <v>0</v>
      </c>
      <c r="I154" s="49">
        <f>+BOTICA!R152</f>
        <v>0</v>
      </c>
      <c r="K154" s="49" t="str">
        <f t="shared" si="4"/>
        <v>0</v>
      </c>
      <c r="L154" s="49" t="str">
        <f t="shared" si="5"/>
        <v>0 -0</v>
      </c>
    </row>
    <row r="155" spans="2:12" x14ac:dyDescent="0.25">
      <c r="B155" s="48">
        <f>+BOTICA!G153</f>
        <v>0</v>
      </c>
      <c r="C155" s="49">
        <f>+BOTICA!B153</f>
        <v>0</v>
      </c>
      <c r="D155" s="50">
        <f>+BOTICA!M153</f>
        <v>0</v>
      </c>
      <c r="F155" s="49">
        <f>+BOTICA!C153</f>
        <v>0</v>
      </c>
      <c r="G155" s="51">
        <f>+BOTICA!A153</f>
        <v>0</v>
      </c>
      <c r="H155" s="49">
        <f>+BOTICA!H153</f>
        <v>0</v>
      </c>
      <c r="I155" s="49">
        <f>+BOTICA!R153</f>
        <v>0</v>
      </c>
      <c r="K155" s="49" t="str">
        <f t="shared" si="4"/>
        <v>0</v>
      </c>
      <c r="L155" s="49" t="str">
        <f t="shared" si="5"/>
        <v>0 -0</v>
      </c>
    </row>
    <row r="156" spans="2:12" x14ac:dyDescent="0.25">
      <c r="B156" s="48">
        <f>+BOTICA!G154</f>
        <v>0</v>
      </c>
      <c r="C156" s="49">
        <f>+BOTICA!B154</f>
        <v>0</v>
      </c>
      <c r="D156" s="50">
        <f>+BOTICA!M154</f>
        <v>0</v>
      </c>
      <c r="F156" s="49">
        <f>+BOTICA!C154</f>
        <v>0</v>
      </c>
      <c r="G156" s="51">
        <f>+BOTICA!A154</f>
        <v>0</v>
      </c>
      <c r="H156" s="49">
        <f>+BOTICA!H154</f>
        <v>0</v>
      </c>
      <c r="I156" s="49">
        <f>+BOTICA!R154</f>
        <v>0</v>
      </c>
      <c r="K156" s="49" t="str">
        <f t="shared" si="4"/>
        <v>0</v>
      </c>
      <c r="L156" s="49" t="str">
        <f t="shared" si="5"/>
        <v>0 -0</v>
      </c>
    </row>
    <row r="157" spans="2:12" x14ac:dyDescent="0.25">
      <c r="B157" s="48">
        <f>+BOTICA!G155</f>
        <v>0</v>
      </c>
      <c r="C157" s="49">
        <f>+BOTICA!B155</f>
        <v>0</v>
      </c>
      <c r="D157" s="50">
        <f>+BOTICA!M155</f>
        <v>0</v>
      </c>
      <c r="F157" s="49">
        <f>+BOTICA!C155</f>
        <v>0</v>
      </c>
      <c r="G157" s="51">
        <f>+BOTICA!A155</f>
        <v>0</v>
      </c>
      <c r="H157" s="49">
        <f>+BOTICA!H155</f>
        <v>0</v>
      </c>
      <c r="I157" s="49">
        <f>+BOTICA!R155</f>
        <v>0</v>
      </c>
      <c r="K157" s="49" t="str">
        <f t="shared" si="4"/>
        <v>0</v>
      </c>
      <c r="L157" s="49" t="str">
        <f t="shared" si="5"/>
        <v>0 -0</v>
      </c>
    </row>
    <row r="158" spans="2:12" x14ac:dyDescent="0.25">
      <c r="B158" s="48">
        <f>+BOTICA!G156</f>
        <v>0</v>
      </c>
      <c r="C158" s="49">
        <f>+BOTICA!B156</f>
        <v>0</v>
      </c>
      <c r="D158" s="50">
        <f>+BOTICA!M156</f>
        <v>0</v>
      </c>
      <c r="F158" s="49">
        <f>+BOTICA!C156</f>
        <v>0</v>
      </c>
      <c r="G158" s="51">
        <f>+BOTICA!A156</f>
        <v>0</v>
      </c>
      <c r="H158" s="49">
        <f>+BOTICA!H156</f>
        <v>0</v>
      </c>
      <c r="I158" s="49">
        <f>+BOTICA!R156</f>
        <v>0</v>
      </c>
      <c r="K158" s="49" t="str">
        <f t="shared" si="4"/>
        <v>0</v>
      </c>
      <c r="L158" s="49" t="str">
        <f t="shared" si="5"/>
        <v>0 -0</v>
      </c>
    </row>
    <row r="159" spans="2:12" x14ac:dyDescent="0.25">
      <c r="B159" s="48">
        <f>+BOTICA!G157</f>
        <v>0</v>
      </c>
      <c r="C159" s="49">
        <f>+BOTICA!B157</f>
        <v>0</v>
      </c>
      <c r="D159" s="50">
        <f>+BOTICA!M157</f>
        <v>0</v>
      </c>
      <c r="F159" s="49">
        <f>+BOTICA!C157</f>
        <v>0</v>
      </c>
      <c r="G159" s="51">
        <f>+BOTICA!A157</f>
        <v>0</v>
      </c>
      <c r="H159" s="49">
        <f>+BOTICA!H157</f>
        <v>0</v>
      </c>
      <c r="I159" s="49">
        <f>+BOTICA!R157</f>
        <v>0</v>
      </c>
      <c r="K159" s="49" t="str">
        <f t="shared" si="4"/>
        <v>0</v>
      </c>
      <c r="L159" s="49" t="str">
        <f t="shared" si="5"/>
        <v>0 -0</v>
      </c>
    </row>
    <row r="160" spans="2:12" x14ac:dyDescent="0.25">
      <c r="B160" s="48">
        <f>+BOTICA!G158</f>
        <v>0</v>
      </c>
      <c r="C160" s="49">
        <f>+BOTICA!B158</f>
        <v>0</v>
      </c>
      <c r="D160" s="50">
        <f>+BOTICA!M158</f>
        <v>0</v>
      </c>
      <c r="F160" s="49">
        <f>+BOTICA!C158</f>
        <v>0</v>
      </c>
      <c r="G160" s="51">
        <f>+BOTICA!A158</f>
        <v>0</v>
      </c>
      <c r="H160" s="49">
        <f>+BOTICA!H158</f>
        <v>0</v>
      </c>
      <c r="I160" s="49">
        <f>+BOTICA!R158</f>
        <v>0</v>
      </c>
      <c r="K160" s="49" t="str">
        <f t="shared" si="4"/>
        <v>0</v>
      </c>
      <c r="L160" s="49" t="str">
        <f t="shared" si="5"/>
        <v>0 -0</v>
      </c>
    </row>
    <row r="161" spans="2:12" x14ac:dyDescent="0.25">
      <c r="B161" s="48">
        <f>+BOTICA!G159</f>
        <v>0</v>
      </c>
      <c r="C161" s="49">
        <f>+BOTICA!B159</f>
        <v>0</v>
      </c>
      <c r="D161" s="50">
        <f>+BOTICA!M159</f>
        <v>0</v>
      </c>
      <c r="F161" s="49">
        <f>+BOTICA!C159</f>
        <v>0</v>
      </c>
      <c r="G161" s="51">
        <f>+BOTICA!A159</f>
        <v>0</v>
      </c>
      <c r="H161" s="49">
        <f>+BOTICA!H159</f>
        <v>0</v>
      </c>
      <c r="I161" s="49">
        <f>+BOTICA!R159</f>
        <v>0</v>
      </c>
      <c r="K161" s="49" t="str">
        <f t="shared" si="4"/>
        <v>0</v>
      </c>
      <c r="L161" s="49" t="str">
        <f t="shared" si="5"/>
        <v>0 -0</v>
      </c>
    </row>
    <row r="162" spans="2:12" x14ac:dyDescent="0.25">
      <c r="B162" s="48">
        <f>+BOTICA!G160</f>
        <v>0</v>
      </c>
      <c r="C162" s="49">
        <f>+BOTICA!B160</f>
        <v>0</v>
      </c>
      <c r="D162" s="50">
        <f>+BOTICA!M160</f>
        <v>0</v>
      </c>
      <c r="F162" s="49">
        <f>+BOTICA!C160</f>
        <v>0</v>
      </c>
      <c r="G162" s="51">
        <f>+BOTICA!A160</f>
        <v>0</v>
      </c>
      <c r="H162" s="49">
        <f>+BOTICA!H160</f>
        <v>0</v>
      </c>
      <c r="I162" s="49">
        <f>+BOTICA!R160</f>
        <v>0</v>
      </c>
      <c r="K162" s="49" t="str">
        <f t="shared" si="4"/>
        <v>0</v>
      </c>
      <c r="L162" s="49" t="str">
        <f t="shared" si="5"/>
        <v>0 -0</v>
      </c>
    </row>
    <row r="163" spans="2:12" x14ac:dyDescent="0.25">
      <c r="B163" s="48">
        <f>+BOTICA!G161</f>
        <v>0</v>
      </c>
      <c r="C163" s="49">
        <f>+BOTICA!B161</f>
        <v>0</v>
      </c>
      <c r="D163" s="50">
        <f>+BOTICA!M161</f>
        <v>0</v>
      </c>
      <c r="F163" s="49">
        <f>+BOTICA!C161</f>
        <v>0</v>
      </c>
      <c r="G163" s="51">
        <f>+BOTICA!A161</f>
        <v>0</v>
      </c>
      <c r="H163" s="49">
        <f>+BOTICA!H161</f>
        <v>0</v>
      </c>
      <c r="I163" s="49">
        <f>+BOTICA!R161</f>
        <v>0</v>
      </c>
      <c r="K163" s="49" t="str">
        <f t="shared" si="4"/>
        <v>0</v>
      </c>
      <c r="L163" s="49" t="str">
        <f t="shared" si="5"/>
        <v>0 -0</v>
      </c>
    </row>
    <row r="164" spans="2:12" x14ac:dyDescent="0.25">
      <c r="B164" s="48">
        <f>+BOTICA!G162</f>
        <v>0</v>
      </c>
      <c r="C164" s="49">
        <f>+BOTICA!B162</f>
        <v>0</v>
      </c>
      <c r="D164" s="50">
        <f>+BOTICA!M162</f>
        <v>0</v>
      </c>
      <c r="F164" s="49">
        <f>+BOTICA!C162</f>
        <v>0</v>
      </c>
      <c r="G164" s="51">
        <f>+BOTICA!A162</f>
        <v>0</v>
      </c>
      <c r="H164" s="49">
        <f>+BOTICA!H162</f>
        <v>0</v>
      </c>
      <c r="I164" s="49">
        <f>+BOTICA!R162</f>
        <v>0</v>
      </c>
      <c r="K164" s="49" t="str">
        <f t="shared" si="4"/>
        <v>0</v>
      </c>
      <c r="L164" s="49" t="str">
        <f t="shared" si="5"/>
        <v>0 -0</v>
      </c>
    </row>
    <row r="165" spans="2:12" x14ac:dyDescent="0.25">
      <c r="B165" s="48">
        <f>+BOTICA!G163</f>
        <v>0</v>
      </c>
      <c r="C165" s="49">
        <f>+BOTICA!B163</f>
        <v>0</v>
      </c>
      <c r="D165" s="50">
        <f>+BOTICA!M163</f>
        <v>0</v>
      </c>
      <c r="F165" s="49">
        <f>+BOTICA!C163</f>
        <v>0</v>
      </c>
      <c r="G165" s="51">
        <f>+BOTICA!A163</f>
        <v>0</v>
      </c>
      <c r="H165" s="49">
        <f>+BOTICA!H163</f>
        <v>0</v>
      </c>
      <c r="I165" s="49">
        <f>+BOTICA!R163</f>
        <v>0</v>
      </c>
      <c r="K165" s="49" t="str">
        <f t="shared" si="4"/>
        <v>0</v>
      </c>
      <c r="L165" s="49" t="str">
        <f t="shared" si="5"/>
        <v>0 -0</v>
      </c>
    </row>
    <row r="166" spans="2:12" x14ac:dyDescent="0.25">
      <c r="B166" s="48">
        <f>+BOTICA!G164</f>
        <v>0</v>
      </c>
      <c r="C166" s="49">
        <f>+BOTICA!B164</f>
        <v>0</v>
      </c>
      <c r="D166" s="50">
        <f>+BOTICA!M164</f>
        <v>0</v>
      </c>
      <c r="F166" s="49">
        <f>+BOTICA!C164</f>
        <v>0</v>
      </c>
      <c r="G166" s="51">
        <f>+BOTICA!A164</f>
        <v>0</v>
      </c>
      <c r="H166" s="49">
        <f>+BOTICA!H164</f>
        <v>0</v>
      </c>
      <c r="I166" s="49">
        <f>+BOTICA!R164</f>
        <v>0</v>
      </c>
      <c r="K166" s="49" t="str">
        <f t="shared" si="4"/>
        <v>0</v>
      </c>
      <c r="L166" s="49" t="str">
        <f t="shared" si="5"/>
        <v>0 -0</v>
      </c>
    </row>
    <row r="167" spans="2:12" x14ac:dyDescent="0.25">
      <c r="B167" s="48">
        <f>+BOTICA!G165</f>
        <v>0</v>
      </c>
      <c r="C167" s="49">
        <f>+BOTICA!B165</f>
        <v>0</v>
      </c>
      <c r="D167" s="50">
        <f>+BOTICA!M165</f>
        <v>0</v>
      </c>
      <c r="F167" s="49">
        <f>+BOTICA!C165</f>
        <v>0</v>
      </c>
      <c r="G167" s="51">
        <f>+BOTICA!A165</f>
        <v>0</v>
      </c>
      <c r="H167" s="49">
        <f>+BOTICA!H165</f>
        <v>0</v>
      </c>
      <c r="I167" s="49">
        <f>+BOTICA!R165</f>
        <v>0</v>
      </c>
      <c r="K167" s="49" t="str">
        <f t="shared" si="4"/>
        <v>0</v>
      </c>
      <c r="L167" s="49" t="str">
        <f t="shared" si="5"/>
        <v>0 -0</v>
      </c>
    </row>
    <row r="168" spans="2:12" x14ac:dyDescent="0.25">
      <c r="B168" s="48">
        <f>+BOTICA!G166</f>
        <v>0</v>
      </c>
      <c r="C168" s="49">
        <f>+BOTICA!B166</f>
        <v>0</v>
      </c>
      <c r="D168" s="50">
        <f>+BOTICA!M166</f>
        <v>0</v>
      </c>
      <c r="F168" s="49">
        <f>+BOTICA!C166</f>
        <v>0</v>
      </c>
      <c r="G168" s="51">
        <f>+BOTICA!A166</f>
        <v>0</v>
      </c>
      <c r="H168" s="49">
        <f>+BOTICA!H166</f>
        <v>0</v>
      </c>
      <c r="I168" s="49">
        <f>+BOTICA!R166</f>
        <v>0</v>
      </c>
      <c r="K168" s="49" t="str">
        <f t="shared" si="4"/>
        <v>0</v>
      </c>
      <c r="L168" s="49" t="str">
        <f t="shared" si="5"/>
        <v>0 -0</v>
      </c>
    </row>
    <row r="169" spans="2:12" x14ac:dyDescent="0.25">
      <c r="B169" s="48">
        <f>+BOTICA!G167</f>
        <v>0</v>
      </c>
      <c r="C169" s="49">
        <f>+BOTICA!B167</f>
        <v>0</v>
      </c>
      <c r="D169" s="50">
        <f>+BOTICA!M167</f>
        <v>0</v>
      </c>
      <c r="F169" s="49">
        <f>+BOTICA!C167</f>
        <v>0</v>
      </c>
      <c r="G169" s="51">
        <f>+BOTICA!A167</f>
        <v>0</v>
      </c>
      <c r="H169" s="49">
        <f>+BOTICA!H167</f>
        <v>0</v>
      </c>
      <c r="I169" s="49">
        <f>+BOTICA!R167</f>
        <v>0</v>
      </c>
      <c r="K169" s="49" t="str">
        <f t="shared" si="4"/>
        <v>0</v>
      </c>
      <c r="L169" s="49" t="str">
        <f t="shared" si="5"/>
        <v>0 -0</v>
      </c>
    </row>
    <row r="170" spans="2:12" x14ac:dyDescent="0.25">
      <c r="B170" s="48">
        <f>+BOTICA!G168</f>
        <v>0</v>
      </c>
      <c r="C170" s="49">
        <f>+BOTICA!B168</f>
        <v>0</v>
      </c>
      <c r="D170" s="50">
        <f>+BOTICA!M168</f>
        <v>0</v>
      </c>
      <c r="F170" s="49">
        <f>+BOTICA!C168</f>
        <v>0</v>
      </c>
      <c r="G170" s="51">
        <f>+BOTICA!A168</f>
        <v>0</v>
      </c>
      <c r="H170" s="49">
        <f>+BOTICA!H168</f>
        <v>0</v>
      </c>
      <c r="I170" s="49">
        <f>+BOTICA!R168</f>
        <v>0</v>
      </c>
      <c r="K170" s="49" t="str">
        <f t="shared" si="4"/>
        <v>0</v>
      </c>
      <c r="L170" s="49" t="str">
        <f t="shared" si="5"/>
        <v>0 -0</v>
      </c>
    </row>
    <row r="171" spans="2:12" x14ac:dyDescent="0.25">
      <c r="B171" s="48">
        <f>+BOTICA!G169</f>
        <v>0</v>
      </c>
      <c r="C171" s="49">
        <f>+BOTICA!B169</f>
        <v>0</v>
      </c>
      <c r="D171" s="50">
        <f>+BOTICA!M169</f>
        <v>0</v>
      </c>
      <c r="F171" s="49">
        <f>+BOTICA!C169</f>
        <v>0</v>
      </c>
      <c r="G171" s="51">
        <f>+BOTICA!A169</f>
        <v>0</v>
      </c>
      <c r="H171" s="49">
        <f>+BOTICA!H169</f>
        <v>0</v>
      </c>
      <c r="I171" s="49">
        <f>+BOTICA!R169</f>
        <v>0</v>
      </c>
      <c r="K171" s="49" t="str">
        <f t="shared" si="4"/>
        <v>0</v>
      </c>
      <c r="L171" s="49" t="str">
        <f t="shared" si="5"/>
        <v>0 -0</v>
      </c>
    </row>
    <row r="172" spans="2:12" x14ac:dyDescent="0.25">
      <c r="B172" s="48">
        <f>+BOTICA!G170</f>
        <v>0</v>
      </c>
      <c r="C172" s="49">
        <f>+BOTICA!B170</f>
        <v>0</v>
      </c>
      <c r="D172" s="50">
        <f>+BOTICA!M170</f>
        <v>0</v>
      </c>
      <c r="F172" s="49">
        <f>+BOTICA!C170</f>
        <v>0</v>
      </c>
      <c r="G172" s="51">
        <f>+BOTICA!A170</f>
        <v>0</v>
      </c>
      <c r="H172" s="49">
        <f>+BOTICA!H170</f>
        <v>0</v>
      </c>
      <c r="I172" s="49">
        <f>+BOTICA!R170</f>
        <v>0</v>
      </c>
      <c r="K172" s="49" t="str">
        <f t="shared" si="4"/>
        <v>0</v>
      </c>
      <c r="L172" s="49" t="str">
        <f t="shared" si="5"/>
        <v>0 -0</v>
      </c>
    </row>
    <row r="173" spans="2:12" x14ac:dyDescent="0.25">
      <c r="B173" s="48">
        <f>+BOTICA!G171</f>
        <v>0</v>
      </c>
      <c r="C173" s="49">
        <f>+BOTICA!B171</f>
        <v>0</v>
      </c>
      <c r="D173" s="50">
        <f>+BOTICA!M171</f>
        <v>0</v>
      </c>
      <c r="F173" s="49">
        <f>+BOTICA!C171</f>
        <v>0</v>
      </c>
      <c r="G173" s="51">
        <f>+BOTICA!A171</f>
        <v>0</v>
      </c>
      <c r="H173" s="49">
        <f>+BOTICA!H171</f>
        <v>0</v>
      </c>
      <c r="I173" s="49">
        <f>+BOTICA!R171</f>
        <v>0</v>
      </c>
      <c r="K173" s="49" t="str">
        <f t="shared" si="4"/>
        <v>0</v>
      </c>
      <c r="L173" s="49" t="str">
        <f t="shared" si="5"/>
        <v>0 -0</v>
      </c>
    </row>
    <row r="174" spans="2:12" x14ac:dyDescent="0.25">
      <c r="B174" s="48">
        <f>+BOTICA!G172</f>
        <v>0</v>
      </c>
      <c r="C174" s="49">
        <f>+BOTICA!B172</f>
        <v>0</v>
      </c>
      <c r="D174" s="50">
        <f>+BOTICA!M172</f>
        <v>0</v>
      </c>
      <c r="F174" s="49">
        <f>+BOTICA!C172</f>
        <v>0</v>
      </c>
      <c r="G174" s="51">
        <f>+BOTICA!A172</f>
        <v>0</v>
      </c>
      <c r="H174" s="49">
        <f>+BOTICA!H172</f>
        <v>0</v>
      </c>
      <c r="I174" s="49">
        <f>+BOTICA!R172</f>
        <v>0</v>
      </c>
      <c r="K174" s="49" t="str">
        <f t="shared" si="4"/>
        <v>0</v>
      </c>
      <c r="L174" s="49" t="str">
        <f t="shared" si="5"/>
        <v>0 -0</v>
      </c>
    </row>
    <row r="175" spans="2:12" x14ac:dyDescent="0.25">
      <c r="B175" s="48">
        <f>+BOTICA!G173</f>
        <v>0</v>
      </c>
      <c r="C175" s="49">
        <f>+BOTICA!B173</f>
        <v>0</v>
      </c>
      <c r="D175" s="50">
        <f>+BOTICA!M173</f>
        <v>0</v>
      </c>
      <c r="F175" s="49">
        <f>+BOTICA!C173</f>
        <v>0</v>
      </c>
      <c r="G175" s="51">
        <f>+BOTICA!A173</f>
        <v>0</v>
      </c>
      <c r="H175" s="49">
        <f>+BOTICA!H173</f>
        <v>0</v>
      </c>
      <c r="I175" s="49">
        <f>+BOTICA!R173</f>
        <v>0</v>
      </c>
      <c r="K175" s="49" t="str">
        <f t="shared" si="4"/>
        <v>0</v>
      </c>
      <c r="L175" s="49" t="str">
        <f t="shared" si="5"/>
        <v>0 -0</v>
      </c>
    </row>
    <row r="176" spans="2:12" x14ac:dyDescent="0.25">
      <c r="B176" s="48">
        <f>+BOTICA!G174</f>
        <v>0</v>
      </c>
      <c r="C176" s="49">
        <f>+BOTICA!B174</f>
        <v>0</v>
      </c>
      <c r="D176" s="50">
        <f>+BOTICA!M174</f>
        <v>0</v>
      </c>
      <c r="F176" s="49">
        <f>+BOTICA!C174</f>
        <v>0</v>
      </c>
      <c r="G176" s="51">
        <f>+BOTICA!A174</f>
        <v>0</v>
      </c>
      <c r="H176" s="49">
        <f>+BOTICA!H174</f>
        <v>0</v>
      </c>
      <c r="I176" s="49">
        <f>+BOTICA!R174</f>
        <v>0</v>
      </c>
      <c r="K176" s="49" t="str">
        <f t="shared" si="4"/>
        <v>0</v>
      </c>
      <c r="L176" s="49" t="str">
        <f t="shared" si="5"/>
        <v>0 -0</v>
      </c>
    </row>
    <row r="177" spans="2:12" x14ac:dyDescent="0.25">
      <c r="B177" s="48">
        <f>+BOTICA!G175</f>
        <v>0</v>
      </c>
      <c r="C177" s="49">
        <f>+BOTICA!B175</f>
        <v>0</v>
      </c>
      <c r="D177" s="50">
        <f>+BOTICA!M175</f>
        <v>0</v>
      </c>
      <c r="F177" s="49">
        <f>+BOTICA!C175</f>
        <v>0</v>
      </c>
      <c r="G177" s="51">
        <f>+BOTICA!A175</f>
        <v>0</v>
      </c>
      <c r="H177" s="49">
        <f>+BOTICA!H175</f>
        <v>0</v>
      </c>
      <c r="I177" s="49">
        <f>+BOTICA!R175</f>
        <v>0</v>
      </c>
      <c r="K177" s="49" t="str">
        <f t="shared" si="4"/>
        <v>0</v>
      </c>
      <c r="L177" s="49" t="str">
        <f t="shared" si="5"/>
        <v>0 -0</v>
      </c>
    </row>
    <row r="178" spans="2:12" x14ac:dyDescent="0.25">
      <c r="B178" s="48">
        <f>+BOTICA!G176</f>
        <v>0</v>
      </c>
      <c r="C178" s="49">
        <f>+BOTICA!B176</f>
        <v>0</v>
      </c>
      <c r="D178" s="50">
        <f>+BOTICA!M176</f>
        <v>0</v>
      </c>
      <c r="F178" s="49">
        <f>+BOTICA!C176</f>
        <v>0</v>
      </c>
      <c r="G178" s="51">
        <f>+BOTICA!A176</f>
        <v>0</v>
      </c>
      <c r="H178" s="49">
        <f>+BOTICA!H176</f>
        <v>0</v>
      </c>
      <c r="I178" s="49">
        <f>+BOTICA!R176</f>
        <v>0</v>
      </c>
      <c r="K178" s="49" t="str">
        <f t="shared" si="4"/>
        <v>0</v>
      </c>
      <c r="L178" s="49" t="str">
        <f t="shared" si="5"/>
        <v>0 -0</v>
      </c>
    </row>
    <row r="179" spans="2:12" x14ac:dyDescent="0.25">
      <c r="B179" s="48">
        <f>+BOTICA!G177</f>
        <v>0</v>
      </c>
      <c r="C179" s="49">
        <f>+BOTICA!B177</f>
        <v>0</v>
      </c>
      <c r="D179" s="50">
        <f>+BOTICA!M177</f>
        <v>0</v>
      </c>
      <c r="F179" s="49">
        <f>+BOTICA!C177</f>
        <v>0</v>
      </c>
      <c r="G179" s="51">
        <f>+BOTICA!A177</f>
        <v>0</v>
      </c>
      <c r="H179" s="49">
        <f>+BOTICA!H177</f>
        <v>0</v>
      </c>
      <c r="I179" s="49">
        <f>+BOTICA!R177</f>
        <v>0</v>
      </c>
      <c r="K179" s="49" t="str">
        <f t="shared" si="4"/>
        <v>0</v>
      </c>
      <c r="L179" s="49" t="str">
        <f t="shared" si="5"/>
        <v>0 -0</v>
      </c>
    </row>
    <row r="180" spans="2:12" x14ac:dyDescent="0.25">
      <c r="B180" s="48">
        <f>+BOTICA!G178</f>
        <v>0</v>
      </c>
      <c r="C180" s="49">
        <f>+BOTICA!B178</f>
        <v>0</v>
      </c>
      <c r="D180" s="50">
        <f>+BOTICA!M178</f>
        <v>0</v>
      </c>
      <c r="F180" s="49">
        <f>+BOTICA!C178</f>
        <v>0</v>
      </c>
      <c r="G180" s="51">
        <f>+BOTICA!A178</f>
        <v>0</v>
      </c>
      <c r="H180" s="49">
        <f>+BOTICA!H178</f>
        <v>0</v>
      </c>
      <c r="I180" s="49">
        <f>+BOTICA!R178</f>
        <v>0</v>
      </c>
      <c r="K180" s="49" t="str">
        <f t="shared" si="4"/>
        <v>0</v>
      </c>
      <c r="L180" s="49" t="str">
        <f t="shared" si="5"/>
        <v>0 -0</v>
      </c>
    </row>
    <row r="181" spans="2:12" x14ac:dyDescent="0.25">
      <c r="B181" s="48">
        <f>+BOTICA!G179</f>
        <v>0</v>
      </c>
      <c r="C181" s="49">
        <f>+BOTICA!B179</f>
        <v>0</v>
      </c>
      <c r="D181" s="50">
        <f>+BOTICA!M179</f>
        <v>0</v>
      </c>
      <c r="F181" s="49">
        <f>+BOTICA!C179</f>
        <v>0</v>
      </c>
      <c r="G181" s="51">
        <f>+BOTICA!A179</f>
        <v>0</v>
      </c>
      <c r="H181" s="49">
        <f>+BOTICA!H179</f>
        <v>0</v>
      </c>
      <c r="I181" s="49">
        <f>+BOTICA!R179</f>
        <v>0</v>
      </c>
      <c r="K181" s="49" t="str">
        <f t="shared" si="4"/>
        <v>0</v>
      </c>
      <c r="L181" s="49" t="str">
        <f t="shared" si="5"/>
        <v>0 -0</v>
      </c>
    </row>
    <row r="182" spans="2:12" x14ac:dyDescent="0.25">
      <c r="B182" s="48">
        <f>+BOTICA!G180</f>
        <v>0</v>
      </c>
      <c r="C182" s="49">
        <f>+BOTICA!B180</f>
        <v>0</v>
      </c>
      <c r="D182" s="50">
        <f>+BOTICA!M180</f>
        <v>0</v>
      </c>
      <c r="F182" s="49">
        <f>+BOTICA!C180</f>
        <v>0</v>
      </c>
      <c r="G182" s="51">
        <f>+BOTICA!A180</f>
        <v>0</v>
      </c>
      <c r="H182" s="49">
        <f>+BOTICA!H180</f>
        <v>0</v>
      </c>
      <c r="I182" s="49">
        <f>+BOTICA!R180</f>
        <v>0</v>
      </c>
      <c r="K182" s="49" t="str">
        <f t="shared" si="4"/>
        <v>0</v>
      </c>
      <c r="L182" s="49" t="str">
        <f t="shared" si="5"/>
        <v>0 -0</v>
      </c>
    </row>
    <row r="183" spans="2:12" x14ac:dyDescent="0.25">
      <c r="B183" s="48">
        <f>+BOTICA!G181</f>
        <v>0</v>
      </c>
      <c r="C183" s="49">
        <f>+BOTICA!B181</f>
        <v>0</v>
      </c>
      <c r="D183" s="50">
        <f>+BOTICA!M181</f>
        <v>0</v>
      </c>
      <c r="F183" s="49">
        <f>+BOTICA!C181</f>
        <v>0</v>
      </c>
      <c r="G183" s="51">
        <f>+BOTICA!A181</f>
        <v>0</v>
      </c>
      <c r="H183" s="49">
        <f>+BOTICA!H181</f>
        <v>0</v>
      </c>
      <c r="I183" s="49">
        <f>+BOTICA!R181</f>
        <v>0</v>
      </c>
      <c r="K183" s="49" t="str">
        <f t="shared" si="4"/>
        <v>0</v>
      </c>
      <c r="L183" s="49" t="str">
        <f t="shared" si="5"/>
        <v>0 -0</v>
      </c>
    </row>
    <row r="184" spans="2:12" x14ac:dyDescent="0.25">
      <c r="B184" s="48">
        <f>+BOTICA!G182</f>
        <v>0</v>
      </c>
      <c r="C184" s="49">
        <f>+BOTICA!B182</f>
        <v>0</v>
      </c>
      <c r="D184" s="50">
        <f>+BOTICA!M182</f>
        <v>0</v>
      </c>
      <c r="F184" s="49">
        <f>+BOTICA!C182</f>
        <v>0</v>
      </c>
      <c r="G184" s="51">
        <f>+BOTICA!A182</f>
        <v>0</v>
      </c>
      <c r="H184" s="49">
        <f>+BOTICA!H182</f>
        <v>0</v>
      </c>
      <c r="I184" s="49">
        <f>+BOTICA!R182</f>
        <v>0</v>
      </c>
      <c r="K184" s="49" t="str">
        <f t="shared" si="4"/>
        <v>0</v>
      </c>
      <c r="L184" s="49" t="str">
        <f t="shared" si="5"/>
        <v>0 -0</v>
      </c>
    </row>
    <row r="185" spans="2:12" x14ac:dyDescent="0.25">
      <c r="B185" s="48">
        <f>+BOTICA!G183</f>
        <v>0</v>
      </c>
      <c r="C185" s="49">
        <f>+BOTICA!B183</f>
        <v>0</v>
      </c>
      <c r="D185" s="50">
        <f>+BOTICA!M183</f>
        <v>0</v>
      </c>
      <c r="F185" s="49">
        <f>+BOTICA!C183</f>
        <v>0</v>
      </c>
      <c r="G185" s="51">
        <f>+BOTICA!A183</f>
        <v>0</v>
      </c>
      <c r="H185" s="49">
        <f>+BOTICA!H183</f>
        <v>0</v>
      </c>
      <c r="I185" s="49">
        <f>+BOTICA!R183</f>
        <v>0</v>
      </c>
      <c r="K185" s="49" t="str">
        <f t="shared" si="4"/>
        <v>0</v>
      </c>
      <c r="L185" s="49" t="str">
        <f t="shared" si="5"/>
        <v>0 -0</v>
      </c>
    </row>
    <row r="186" spans="2:12" x14ac:dyDescent="0.25">
      <c r="B186" s="48">
        <f>+BOTICA!G184</f>
        <v>0</v>
      </c>
      <c r="C186" s="49">
        <f>+BOTICA!B184</f>
        <v>0</v>
      </c>
      <c r="D186" s="50">
        <f>+BOTICA!M184</f>
        <v>0</v>
      </c>
      <c r="F186" s="49">
        <f>+BOTICA!C184</f>
        <v>0</v>
      </c>
      <c r="G186" s="51">
        <f>+BOTICA!A184</f>
        <v>0</v>
      </c>
      <c r="H186" s="49">
        <f>+BOTICA!H184</f>
        <v>0</v>
      </c>
      <c r="I186" s="49">
        <f>+BOTICA!R184</f>
        <v>0</v>
      </c>
      <c r="K186" s="49" t="str">
        <f t="shared" ref="K186:K249" si="6">CONCATENATE(,G186)</f>
        <v>0</v>
      </c>
      <c r="L186" s="49" t="str">
        <f t="shared" ref="L186:L249" si="7">CONCATENATE(K186," -",C186)</f>
        <v>0 -0</v>
      </c>
    </row>
    <row r="187" spans="2:12" x14ac:dyDescent="0.25">
      <c r="B187" s="48">
        <f>+BOTICA!G185</f>
        <v>0</v>
      </c>
      <c r="C187" s="49">
        <f>+BOTICA!B185</f>
        <v>0</v>
      </c>
      <c r="D187" s="50">
        <f>+BOTICA!M185</f>
        <v>0</v>
      </c>
      <c r="F187" s="49">
        <f>+BOTICA!C185</f>
        <v>0</v>
      </c>
      <c r="G187" s="51">
        <f>+BOTICA!A185</f>
        <v>0</v>
      </c>
      <c r="H187" s="49">
        <f>+BOTICA!H185</f>
        <v>0</v>
      </c>
      <c r="I187" s="49">
        <f>+BOTICA!R185</f>
        <v>0</v>
      </c>
      <c r="K187" s="49" t="str">
        <f t="shared" si="6"/>
        <v>0</v>
      </c>
      <c r="L187" s="49" t="str">
        <f t="shared" si="7"/>
        <v>0 -0</v>
      </c>
    </row>
    <row r="188" spans="2:12" x14ac:dyDescent="0.25">
      <c r="B188" s="48">
        <f>+BOTICA!G186</f>
        <v>0</v>
      </c>
      <c r="C188" s="49">
        <f>+BOTICA!B186</f>
        <v>0</v>
      </c>
      <c r="D188" s="50">
        <f>+BOTICA!M186</f>
        <v>0</v>
      </c>
      <c r="F188" s="49">
        <f>+BOTICA!C186</f>
        <v>0</v>
      </c>
      <c r="G188" s="51">
        <f>+BOTICA!A186</f>
        <v>0</v>
      </c>
      <c r="H188" s="49">
        <f>+BOTICA!H186</f>
        <v>0</v>
      </c>
      <c r="I188" s="49">
        <f>+BOTICA!R186</f>
        <v>0</v>
      </c>
      <c r="K188" s="49" t="str">
        <f t="shared" si="6"/>
        <v>0</v>
      </c>
      <c r="L188" s="49" t="str">
        <f t="shared" si="7"/>
        <v>0 -0</v>
      </c>
    </row>
    <row r="189" spans="2:12" x14ac:dyDescent="0.25">
      <c r="B189" s="48">
        <f>+BOTICA!G187</f>
        <v>0</v>
      </c>
      <c r="C189" s="49">
        <f>+BOTICA!B187</f>
        <v>0</v>
      </c>
      <c r="D189" s="50">
        <f>+BOTICA!M187</f>
        <v>0</v>
      </c>
      <c r="F189" s="49">
        <f>+BOTICA!C187</f>
        <v>0</v>
      </c>
      <c r="G189" s="51">
        <f>+BOTICA!A187</f>
        <v>0</v>
      </c>
      <c r="H189" s="49">
        <f>+BOTICA!H187</f>
        <v>0</v>
      </c>
      <c r="I189" s="49">
        <f>+BOTICA!R187</f>
        <v>0</v>
      </c>
      <c r="K189" s="49" t="str">
        <f t="shared" si="6"/>
        <v>0</v>
      </c>
      <c r="L189" s="49" t="str">
        <f t="shared" si="7"/>
        <v>0 -0</v>
      </c>
    </row>
    <row r="190" spans="2:12" x14ac:dyDescent="0.25">
      <c r="B190" s="48">
        <f>+BOTICA!G188</f>
        <v>0</v>
      </c>
      <c r="C190" s="49">
        <f>+BOTICA!B188</f>
        <v>0</v>
      </c>
      <c r="D190" s="50">
        <f>+BOTICA!M188</f>
        <v>0</v>
      </c>
      <c r="F190" s="49">
        <f>+BOTICA!C188</f>
        <v>0</v>
      </c>
      <c r="G190" s="51">
        <f>+BOTICA!A188</f>
        <v>0</v>
      </c>
      <c r="H190" s="49">
        <f>+BOTICA!H188</f>
        <v>0</v>
      </c>
      <c r="I190" s="49">
        <f>+BOTICA!R188</f>
        <v>0</v>
      </c>
      <c r="K190" s="49" t="str">
        <f t="shared" si="6"/>
        <v>0</v>
      </c>
      <c r="L190" s="49" t="str">
        <f t="shared" si="7"/>
        <v>0 -0</v>
      </c>
    </row>
    <row r="191" spans="2:12" x14ac:dyDescent="0.25">
      <c r="B191" s="48">
        <f>+BOTICA!G189</f>
        <v>0</v>
      </c>
      <c r="C191" s="49">
        <f>+BOTICA!B189</f>
        <v>0</v>
      </c>
      <c r="D191" s="50">
        <f>+BOTICA!M189</f>
        <v>0</v>
      </c>
      <c r="F191" s="49">
        <f>+BOTICA!C189</f>
        <v>0</v>
      </c>
      <c r="G191" s="51">
        <f>+BOTICA!A189</f>
        <v>0</v>
      </c>
      <c r="H191" s="49">
        <f>+BOTICA!H189</f>
        <v>0</v>
      </c>
      <c r="I191" s="49">
        <f>+BOTICA!R189</f>
        <v>0</v>
      </c>
      <c r="K191" s="49" t="str">
        <f t="shared" si="6"/>
        <v>0</v>
      </c>
      <c r="L191" s="49" t="str">
        <f t="shared" si="7"/>
        <v>0 -0</v>
      </c>
    </row>
    <row r="192" spans="2:12" x14ac:dyDescent="0.25">
      <c r="B192" s="48">
        <f>+BOTICA!G190</f>
        <v>0</v>
      </c>
      <c r="C192" s="49">
        <f>+BOTICA!B190</f>
        <v>0</v>
      </c>
      <c r="D192" s="50">
        <f>+BOTICA!M190</f>
        <v>0</v>
      </c>
      <c r="F192" s="49">
        <f>+BOTICA!C190</f>
        <v>0</v>
      </c>
      <c r="G192" s="51">
        <f>+BOTICA!A190</f>
        <v>0</v>
      </c>
      <c r="H192" s="49">
        <f>+BOTICA!H190</f>
        <v>0</v>
      </c>
      <c r="I192" s="49">
        <f>+BOTICA!R190</f>
        <v>0</v>
      </c>
      <c r="K192" s="49" t="str">
        <f t="shared" si="6"/>
        <v>0</v>
      </c>
      <c r="L192" s="49" t="str">
        <f t="shared" si="7"/>
        <v>0 -0</v>
      </c>
    </row>
    <row r="193" spans="2:12" x14ac:dyDescent="0.25">
      <c r="B193" s="48">
        <f>+BOTICA!G191</f>
        <v>0</v>
      </c>
      <c r="C193" s="49">
        <f>+BOTICA!B191</f>
        <v>0</v>
      </c>
      <c r="D193" s="50">
        <f>+BOTICA!M191</f>
        <v>0</v>
      </c>
      <c r="F193" s="49">
        <f>+BOTICA!C191</f>
        <v>0</v>
      </c>
      <c r="G193" s="51">
        <f>+BOTICA!A191</f>
        <v>0</v>
      </c>
      <c r="H193" s="49">
        <f>+BOTICA!H191</f>
        <v>0</v>
      </c>
      <c r="I193" s="49">
        <f>+BOTICA!R191</f>
        <v>0</v>
      </c>
      <c r="K193" s="49" t="str">
        <f t="shared" si="6"/>
        <v>0</v>
      </c>
      <c r="L193" s="49" t="str">
        <f t="shared" si="7"/>
        <v>0 -0</v>
      </c>
    </row>
    <row r="194" spans="2:12" x14ac:dyDescent="0.25">
      <c r="B194" s="48">
        <f>+BOTICA!G192</f>
        <v>0</v>
      </c>
      <c r="C194" s="49">
        <f>+BOTICA!B192</f>
        <v>0</v>
      </c>
      <c r="D194" s="50">
        <f>+BOTICA!M192</f>
        <v>0</v>
      </c>
      <c r="F194" s="49">
        <f>+BOTICA!C192</f>
        <v>0</v>
      </c>
      <c r="G194" s="51">
        <f>+BOTICA!A192</f>
        <v>0</v>
      </c>
      <c r="H194" s="49">
        <f>+BOTICA!H192</f>
        <v>0</v>
      </c>
      <c r="I194" s="49">
        <f>+BOTICA!R192</f>
        <v>0</v>
      </c>
      <c r="K194" s="49" t="str">
        <f t="shared" si="6"/>
        <v>0</v>
      </c>
      <c r="L194" s="49" t="str">
        <f t="shared" si="7"/>
        <v>0 -0</v>
      </c>
    </row>
    <row r="195" spans="2:12" x14ac:dyDescent="0.25">
      <c r="B195" s="48">
        <f>+BOTICA!G193</f>
        <v>0</v>
      </c>
      <c r="C195" s="49">
        <f>+BOTICA!B193</f>
        <v>0</v>
      </c>
      <c r="D195" s="50">
        <f>+BOTICA!M193</f>
        <v>0</v>
      </c>
      <c r="F195" s="49">
        <f>+BOTICA!C193</f>
        <v>0</v>
      </c>
      <c r="G195" s="51">
        <f>+BOTICA!A193</f>
        <v>0</v>
      </c>
      <c r="H195" s="49">
        <f>+BOTICA!H193</f>
        <v>0</v>
      </c>
      <c r="I195" s="49">
        <f>+BOTICA!R193</f>
        <v>0</v>
      </c>
      <c r="K195" s="49" t="str">
        <f t="shared" si="6"/>
        <v>0</v>
      </c>
      <c r="L195" s="49" t="str">
        <f t="shared" si="7"/>
        <v>0 -0</v>
      </c>
    </row>
    <row r="196" spans="2:12" x14ac:dyDescent="0.25">
      <c r="B196" s="48">
        <f>+BOTICA!G194</f>
        <v>0</v>
      </c>
      <c r="C196" s="49">
        <f>+BOTICA!B194</f>
        <v>0</v>
      </c>
      <c r="D196" s="50">
        <f>+BOTICA!M194</f>
        <v>0</v>
      </c>
      <c r="F196" s="49">
        <f>+BOTICA!C194</f>
        <v>0</v>
      </c>
      <c r="G196" s="51">
        <f>+BOTICA!A194</f>
        <v>0</v>
      </c>
      <c r="H196" s="49">
        <f>+BOTICA!H194</f>
        <v>0</v>
      </c>
      <c r="I196" s="49">
        <f>+BOTICA!R194</f>
        <v>0</v>
      </c>
      <c r="K196" s="49" t="str">
        <f t="shared" si="6"/>
        <v>0</v>
      </c>
      <c r="L196" s="49" t="str">
        <f t="shared" si="7"/>
        <v>0 -0</v>
      </c>
    </row>
    <row r="197" spans="2:12" x14ac:dyDescent="0.25">
      <c r="B197" s="48">
        <f>+BOTICA!G195</f>
        <v>0</v>
      </c>
      <c r="C197" s="49">
        <f>+BOTICA!B195</f>
        <v>0</v>
      </c>
      <c r="D197" s="50">
        <f>+BOTICA!M195</f>
        <v>0</v>
      </c>
      <c r="F197" s="49">
        <f>+BOTICA!C195</f>
        <v>0</v>
      </c>
      <c r="G197" s="51">
        <f>+BOTICA!A195</f>
        <v>0</v>
      </c>
      <c r="H197" s="49">
        <f>+BOTICA!H195</f>
        <v>0</v>
      </c>
      <c r="I197" s="49">
        <f>+BOTICA!R195</f>
        <v>0</v>
      </c>
      <c r="K197" s="49" t="str">
        <f t="shared" si="6"/>
        <v>0</v>
      </c>
      <c r="L197" s="49" t="str">
        <f t="shared" si="7"/>
        <v>0 -0</v>
      </c>
    </row>
    <row r="198" spans="2:12" x14ac:dyDescent="0.25">
      <c r="B198" s="48">
        <f>+BOTICA!G196</f>
        <v>0</v>
      </c>
      <c r="C198" s="49">
        <f>+BOTICA!B196</f>
        <v>0</v>
      </c>
      <c r="D198" s="50">
        <f>+BOTICA!M196</f>
        <v>0</v>
      </c>
      <c r="F198" s="49">
        <f>+BOTICA!C196</f>
        <v>0</v>
      </c>
      <c r="G198" s="51">
        <f>+BOTICA!A196</f>
        <v>0</v>
      </c>
      <c r="H198" s="49">
        <f>+BOTICA!H196</f>
        <v>0</v>
      </c>
      <c r="I198" s="49">
        <f>+BOTICA!R196</f>
        <v>0</v>
      </c>
      <c r="K198" s="49" t="str">
        <f t="shared" si="6"/>
        <v>0</v>
      </c>
      <c r="L198" s="49" t="str">
        <f t="shared" si="7"/>
        <v>0 -0</v>
      </c>
    </row>
    <row r="199" spans="2:12" x14ac:dyDescent="0.25">
      <c r="B199" s="48">
        <f>+BOTICA!G197</f>
        <v>0</v>
      </c>
      <c r="C199" s="49">
        <f>+BOTICA!B197</f>
        <v>0</v>
      </c>
      <c r="D199" s="50">
        <f>+BOTICA!M197</f>
        <v>0</v>
      </c>
      <c r="F199" s="49">
        <f>+BOTICA!C197</f>
        <v>0</v>
      </c>
      <c r="G199" s="51">
        <f>+BOTICA!A197</f>
        <v>0</v>
      </c>
      <c r="H199" s="49">
        <f>+BOTICA!H197</f>
        <v>0</v>
      </c>
      <c r="I199" s="49">
        <f>+BOTICA!R197</f>
        <v>0</v>
      </c>
      <c r="K199" s="49" t="str">
        <f t="shared" si="6"/>
        <v>0</v>
      </c>
      <c r="L199" s="49" t="str">
        <f t="shared" si="7"/>
        <v>0 -0</v>
      </c>
    </row>
    <row r="200" spans="2:12" x14ac:dyDescent="0.25">
      <c r="B200" s="48">
        <f>+BOTICA!G198</f>
        <v>0</v>
      </c>
      <c r="C200" s="49">
        <f>+BOTICA!B198</f>
        <v>0</v>
      </c>
      <c r="D200" s="50">
        <f>+BOTICA!M198</f>
        <v>0</v>
      </c>
      <c r="F200" s="49">
        <f>+BOTICA!C198</f>
        <v>0</v>
      </c>
      <c r="G200" s="51">
        <f>+BOTICA!A198</f>
        <v>0</v>
      </c>
      <c r="H200" s="49">
        <f>+BOTICA!H198</f>
        <v>0</v>
      </c>
      <c r="I200" s="49">
        <f>+BOTICA!R198</f>
        <v>0</v>
      </c>
      <c r="K200" s="49" t="str">
        <f t="shared" si="6"/>
        <v>0</v>
      </c>
      <c r="L200" s="49" t="str">
        <f t="shared" si="7"/>
        <v>0 -0</v>
      </c>
    </row>
    <row r="201" spans="2:12" x14ac:dyDescent="0.25">
      <c r="B201" s="48">
        <f>+BOTICA!G199</f>
        <v>0</v>
      </c>
      <c r="C201" s="49">
        <f>+BOTICA!B199</f>
        <v>0</v>
      </c>
      <c r="D201" s="50">
        <f>+BOTICA!M199</f>
        <v>0</v>
      </c>
      <c r="F201" s="49">
        <f>+BOTICA!C199</f>
        <v>0</v>
      </c>
      <c r="G201" s="51">
        <f>+BOTICA!A199</f>
        <v>0</v>
      </c>
      <c r="H201" s="49">
        <f>+BOTICA!H199</f>
        <v>0</v>
      </c>
      <c r="I201" s="49">
        <f>+BOTICA!R199</f>
        <v>0</v>
      </c>
      <c r="K201" s="49" t="str">
        <f t="shared" si="6"/>
        <v>0</v>
      </c>
      <c r="L201" s="49" t="str">
        <f t="shared" si="7"/>
        <v>0 -0</v>
      </c>
    </row>
    <row r="202" spans="2:12" x14ac:dyDescent="0.25">
      <c r="B202" s="48">
        <f>+BOTICA!G200</f>
        <v>0</v>
      </c>
      <c r="C202" s="49">
        <f>+BOTICA!B200</f>
        <v>0</v>
      </c>
      <c r="D202" s="50">
        <f>+BOTICA!M200</f>
        <v>0</v>
      </c>
      <c r="F202" s="49">
        <f>+BOTICA!C200</f>
        <v>0</v>
      </c>
      <c r="G202" s="51">
        <f>+BOTICA!A200</f>
        <v>0</v>
      </c>
      <c r="H202" s="49">
        <f>+BOTICA!H200</f>
        <v>0</v>
      </c>
      <c r="I202" s="49">
        <f>+BOTICA!R200</f>
        <v>0</v>
      </c>
      <c r="K202" s="49" t="str">
        <f t="shared" si="6"/>
        <v>0</v>
      </c>
      <c r="L202" s="49" t="str">
        <f t="shared" si="7"/>
        <v>0 -0</v>
      </c>
    </row>
    <row r="203" spans="2:12" x14ac:dyDescent="0.25">
      <c r="B203" s="48">
        <f>+BOTICA!G201</f>
        <v>0</v>
      </c>
      <c r="C203" s="49">
        <f>+BOTICA!B201</f>
        <v>0</v>
      </c>
      <c r="D203" s="50">
        <f>+BOTICA!M201</f>
        <v>0</v>
      </c>
      <c r="F203" s="49">
        <f>+BOTICA!C201</f>
        <v>0</v>
      </c>
      <c r="G203" s="51">
        <f>+BOTICA!A201</f>
        <v>0</v>
      </c>
      <c r="H203" s="49">
        <f>+BOTICA!H201</f>
        <v>0</v>
      </c>
      <c r="I203" s="49">
        <f>+BOTICA!R201</f>
        <v>0</v>
      </c>
      <c r="K203" s="49" t="str">
        <f t="shared" si="6"/>
        <v>0</v>
      </c>
      <c r="L203" s="49" t="str">
        <f t="shared" si="7"/>
        <v>0 -0</v>
      </c>
    </row>
    <row r="204" spans="2:12" x14ac:dyDescent="0.25">
      <c r="B204" s="48">
        <f>+BOTICA!G202</f>
        <v>0</v>
      </c>
      <c r="C204" s="49">
        <f>+BOTICA!B202</f>
        <v>0</v>
      </c>
      <c r="D204" s="50">
        <f>+BOTICA!M202</f>
        <v>0</v>
      </c>
      <c r="F204" s="49">
        <f>+BOTICA!C202</f>
        <v>0</v>
      </c>
      <c r="G204" s="51">
        <f>+BOTICA!A202</f>
        <v>0</v>
      </c>
      <c r="H204" s="49">
        <f>+BOTICA!H202</f>
        <v>0</v>
      </c>
      <c r="I204" s="49">
        <f>+BOTICA!R202</f>
        <v>0</v>
      </c>
      <c r="K204" s="49" t="str">
        <f t="shared" si="6"/>
        <v>0</v>
      </c>
      <c r="L204" s="49" t="str">
        <f t="shared" si="7"/>
        <v>0 -0</v>
      </c>
    </row>
    <row r="205" spans="2:12" x14ac:dyDescent="0.25">
      <c r="B205" s="48">
        <f>+BOTICA!G203</f>
        <v>0</v>
      </c>
      <c r="C205" s="49">
        <f>+BOTICA!B203</f>
        <v>0</v>
      </c>
      <c r="D205" s="50">
        <f>+BOTICA!M203</f>
        <v>0</v>
      </c>
      <c r="F205" s="49">
        <f>+BOTICA!C203</f>
        <v>0</v>
      </c>
      <c r="G205" s="51">
        <f>+BOTICA!A203</f>
        <v>0</v>
      </c>
      <c r="H205" s="49">
        <f>+BOTICA!H203</f>
        <v>0</v>
      </c>
      <c r="I205" s="49">
        <f>+BOTICA!R203</f>
        <v>0</v>
      </c>
      <c r="K205" s="49" t="str">
        <f t="shared" si="6"/>
        <v>0</v>
      </c>
      <c r="L205" s="49" t="str">
        <f t="shared" si="7"/>
        <v>0 -0</v>
      </c>
    </row>
    <row r="206" spans="2:12" x14ac:dyDescent="0.25">
      <c r="B206" s="48">
        <f>+BOTICA!G204</f>
        <v>0</v>
      </c>
      <c r="C206" s="49">
        <f>+BOTICA!B204</f>
        <v>0</v>
      </c>
      <c r="D206" s="50">
        <f>+BOTICA!M204</f>
        <v>0</v>
      </c>
      <c r="F206" s="49">
        <f>+BOTICA!C204</f>
        <v>0</v>
      </c>
      <c r="G206" s="51">
        <f>+BOTICA!A204</f>
        <v>0</v>
      </c>
      <c r="H206" s="49">
        <f>+BOTICA!H204</f>
        <v>0</v>
      </c>
      <c r="I206" s="49">
        <f>+BOTICA!R204</f>
        <v>0</v>
      </c>
      <c r="K206" s="49" t="str">
        <f t="shared" si="6"/>
        <v>0</v>
      </c>
      <c r="L206" s="49" t="str">
        <f t="shared" si="7"/>
        <v>0 -0</v>
      </c>
    </row>
    <row r="207" spans="2:12" x14ac:dyDescent="0.25">
      <c r="B207" s="48">
        <f>+BOTICA!G205</f>
        <v>0</v>
      </c>
      <c r="C207" s="49">
        <f>+BOTICA!B205</f>
        <v>0</v>
      </c>
      <c r="D207" s="50">
        <f>+BOTICA!M205</f>
        <v>0</v>
      </c>
      <c r="F207" s="49">
        <f>+BOTICA!C205</f>
        <v>0</v>
      </c>
      <c r="G207" s="51">
        <f>+BOTICA!A205</f>
        <v>0</v>
      </c>
      <c r="H207" s="49">
        <f>+BOTICA!H205</f>
        <v>0</v>
      </c>
      <c r="I207" s="49">
        <f>+BOTICA!R205</f>
        <v>0</v>
      </c>
      <c r="K207" s="49" t="str">
        <f t="shared" si="6"/>
        <v>0</v>
      </c>
      <c r="L207" s="49" t="str">
        <f t="shared" si="7"/>
        <v>0 -0</v>
      </c>
    </row>
    <row r="208" spans="2:12" x14ac:dyDescent="0.25">
      <c r="B208" s="48">
        <f>+BOTICA!G206</f>
        <v>0</v>
      </c>
      <c r="C208" s="49">
        <f>+BOTICA!B206</f>
        <v>0</v>
      </c>
      <c r="D208" s="50">
        <f>+BOTICA!M206</f>
        <v>0</v>
      </c>
      <c r="F208" s="49">
        <f>+BOTICA!C206</f>
        <v>0</v>
      </c>
      <c r="G208" s="51">
        <f>+BOTICA!A206</f>
        <v>0</v>
      </c>
      <c r="H208" s="49">
        <f>+BOTICA!H206</f>
        <v>0</v>
      </c>
      <c r="I208" s="49">
        <f>+BOTICA!R206</f>
        <v>0</v>
      </c>
      <c r="K208" s="49" t="str">
        <f t="shared" si="6"/>
        <v>0</v>
      </c>
      <c r="L208" s="49" t="str">
        <f t="shared" si="7"/>
        <v>0 -0</v>
      </c>
    </row>
    <row r="209" spans="2:12" x14ac:dyDescent="0.25">
      <c r="B209" s="48">
        <f>+BOTICA!G207</f>
        <v>0</v>
      </c>
      <c r="C209" s="49">
        <f>+BOTICA!B207</f>
        <v>0</v>
      </c>
      <c r="D209" s="50">
        <f>+BOTICA!M207</f>
        <v>0</v>
      </c>
      <c r="F209" s="49">
        <f>+BOTICA!C207</f>
        <v>0</v>
      </c>
      <c r="G209" s="51">
        <f>+BOTICA!A207</f>
        <v>0</v>
      </c>
      <c r="H209" s="49">
        <f>+BOTICA!H207</f>
        <v>0</v>
      </c>
      <c r="I209" s="49">
        <f>+BOTICA!R207</f>
        <v>0</v>
      </c>
      <c r="K209" s="49" t="str">
        <f t="shared" si="6"/>
        <v>0</v>
      </c>
      <c r="L209" s="49" t="str">
        <f t="shared" si="7"/>
        <v>0 -0</v>
      </c>
    </row>
    <row r="210" spans="2:12" x14ac:dyDescent="0.25">
      <c r="B210" s="48">
        <f>+BOTICA!G208</f>
        <v>0</v>
      </c>
      <c r="C210" s="49">
        <f>+BOTICA!B208</f>
        <v>0</v>
      </c>
      <c r="D210" s="50">
        <f>+BOTICA!M208</f>
        <v>0</v>
      </c>
      <c r="F210" s="49">
        <f>+BOTICA!C208</f>
        <v>0</v>
      </c>
      <c r="G210" s="51">
        <f>+BOTICA!A208</f>
        <v>0</v>
      </c>
      <c r="H210" s="49">
        <f>+BOTICA!H208</f>
        <v>0</v>
      </c>
      <c r="I210" s="49">
        <f>+BOTICA!R208</f>
        <v>0</v>
      </c>
      <c r="K210" s="49" t="str">
        <f t="shared" si="6"/>
        <v>0</v>
      </c>
      <c r="L210" s="49" t="str">
        <f t="shared" si="7"/>
        <v>0 -0</v>
      </c>
    </row>
    <row r="211" spans="2:12" x14ac:dyDescent="0.25">
      <c r="B211" s="48">
        <f>+BOTICA!G209</f>
        <v>0</v>
      </c>
      <c r="C211" s="49">
        <f>+BOTICA!B209</f>
        <v>0</v>
      </c>
      <c r="D211" s="50">
        <f>+BOTICA!M209</f>
        <v>0</v>
      </c>
      <c r="F211" s="49">
        <f>+BOTICA!C209</f>
        <v>0</v>
      </c>
      <c r="G211" s="51">
        <f>+BOTICA!A209</f>
        <v>0</v>
      </c>
      <c r="H211" s="49">
        <f>+BOTICA!H209</f>
        <v>0</v>
      </c>
      <c r="I211" s="49">
        <f>+BOTICA!R209</f>
        <v>0</v>
      </c>
      <c r="K211" s="49" t="str">
        <f t="shared" si="6"/>
        <v>0</v>
      </c>
      <c r="L211" s="49" t="str">
        <f t="shared" si="7"/>
        <v>0 -0</v>
      </c>
    </row>
    <row r="212" spans="2:12" x14ac:dyDescent="0.25">
      <c r="B212" s="48">
        <f>+BOTICA!G210</f>
        <v>0</v>
      </c>
      <c r="C212" s="49">
        <f>+BOTICA!B210</f>
        <v>0</v>
      </c>
      <c r="D212" s="50">
        <f>+BOTICA!M210</f>
        <v>0</v>
      </c>
      <c r="F212" s="49">
        <f>+BOTICA!C210</f>
        <v>0</v>
      </c>
      <c r="G212" s="51">
        <f>+BOTICA!A210</f>
        <v>0</v>
      </c>
      <c r="H212" s="49">
        <f>+BOTICA!H210</f>
        <v>0</v>
      </c>
      <c r="I212" s="49">
        <f>+BOTICA!R210</f>
        <v>0</v>
      </c>
      <c r="K212" s="49" t="str">
        <f t="shared" si="6"/>
        <v>0</v>
      </c>
      <c r="L212" s="49" t="str">
        <f t="shared" si="7"/>
        <v>0 -0</v>
      </c>
    </row>
    <row r="213" spans="2:12" x14ac:dyDescent="0.25">
      <c r="B213" s="48">
        <f>+BOTICA!G211</f>
        <v>0</v>
      </c>
      <c r="C213" s="49">
        <f>+BOTICA!B211</f>
        <v>0</v>
      </c>
      <c r="D213" s="50">
        <f>+BOTICA!M211</f>
        <v>0</v>
      </c>
      <c r="F213" s="49">
        <f>+BOTICA!C211</f>
        <v>0</v>
      </c>
      <c r="G213" s="51">
        <f>+BOTICA!A211</f>
        <v>0</v>
      </c>
      <c r="H213" s="49">
        <f>+BOTICA!H211</f>
        <v>0</v>
      </c>
      <c r="I213" s="49">
        <f>+BOTICA!R211</f>
        <v>0</v>
      </c>
      <c r="K213" s="49" t="str">
        <f t="shared" si="6"/>
        <v>0</v>
      </c>
      <c r="L213" s="49" t="str">
        <f t="shared" si="7"/>
        <v>0 -0</v>
      </c>
    </row>
    <row r="214" spans="2:12" x14ac:dyDescent="0.25">
      <c r="B214" s="48">
        <f>+BOTICA!G212</f>
        <v>0</v>
      </c>
      <c r="C214" s="49">
        <f>+BOTICA!B212</f>
        <v>0</v>
      </c>
      <c r="D214" s="50">
        <f>+BOTICA!M212</f>
        <v>0</v>
      </c>
      <c r="F214" s="49">
        <f>+BOTICA!C212</f>
        <v>0</v>
      </c>
      <c r="G214" s="51">
        <f>+BOTICA!A212</f>
        <v>0</v>
      </c>
      <c r="H214" s="49">
        <f>+BOTICA!H212</f>
        <v>0</v>
      </c>
      <c r="I214" s="49">
        <f>+BOTICA!R212</f>
        <v>0</v>
      </c>
      <c r="K214" s="49" t="str">
        <f t="shared" si="6"/>
        <v>0</v>
      </c>
      <c r="L214" s="49" t="str">
        <f t="shared" si="7"/>
        <v>0 -0</v>
      </c>
    </row>
    <row r="215" spans="2:12" x14ac:dyDescent="0.25">
      <c r="B215" s="48">
        <f>+BOTICA!G213</f>
        <v>0</v>
      </c>
      <c r="C215" s="49">
        <f>+BOTICA!B213</f>
        <v>0</v>
      </c>
      <c r="D215" s="50">
        <f>+BOTICA!M213</f>
        <v>0</v>
      </c>
      <c r="F215" s="49">
        <f>+BOTICA!C213</f>
        <v>0</v>
      </c>
      <c r="G215" s="51">
        <f>+BOTICA!A213</f>
        <v>0</v>
      </c>
      <c r="H215" s="49">
        <f>+BOTICA!H213</f>
        <v>0</v>
      </c>
      <c r="I215" s="49">
        <f>+BOTICA!R213</f>
        <v>0</v>
      </c>
      <c r="K215" s="49" t="str">
        <f t="shared" si="6"/>
        <v>0</v>
      </c>
      <c r="L215" s="49" t="str">
        <f t="shared" si="7"/>
        <v>0 -0</v>
      </c>
    </row>
    <row r="216" spans="2:12" x14ac:dyDescent="0.25">
      <c r="B216" s="48">
        <f>+BOTICA!G214</f>
        <v>0</v>
      </c>
      <c r="C216" s="49">
        <f>+BOTICA!B214</f>
        <v>0</v>
      </c>
      <c r="D216" s="50">
        <f>+BOTICA!M214</f>
        <v>0</v>
      </c>
      <c r="F216" s="49">
        <f>+BOTICA!C214</f>
        <v>0</v>
      </c>
      <c r="G216" s="51">
        <f>+BOTICA!A214</f>
        <v>0</v>
      </c>
      <c r="H216" s="49">
        <f>+BOTICA!H214</f>
        <v>0</v>
      </c>
      <c r="I216" s="49">
        <f>+BOTICA!R214</f>
        <v>0</v>
      </c>
      <c r="K216" s="49" t="str">
        <f t="shared" si="6"/>
        <v>0</v>
      </c>
      <c r="L216" s="49" t="str">
        <f t="shared" si="7"/>
        <v>0 -0</v>
      </c>
    </row>
    <row r="217" spans="2:12" x14ac:dyDescent="0.25">
      <c r="B217" s="48">
        <f>+BOTICA!G215</f>
        <v>0</v>
      </c>
      <c r="C217" s="49">
        <f>+BOTICA!B215</f>
        <v>0</v>
      </c>
      <c r="D217" s="50">
        <f>+BOTICA!M215</f>
        <v>0</v>
      </c>
      <c r="F217" s="49">
        <f>+BOTICA!C215</f>
        <v>0</v>
      </c>
      <c r="G217" s="51">
        <f>+BOTICA!A215</f>
        <v>0</v>
      </c>
      <c r="H217" s="49">
        <f>+BOTICA!H215</f>
        <v>0</v>
      </c>
      <c r="I217" s="49">
        <f>+BOTICA!R215</f>
        <v>0</v>
      </c>
      <c r="K217" s="49" t="str">
        <f t="shared" si="6"/>
        <v>0</v>
      </c>
      <c r="L217" s="49" t="str">
        <f t="shared" si="7"/>
        <v>0 -0</v>
      </c>
    </row>
    <row r="218" spans="2:12" x14ac:dyDescent="0.25">
      <c r="B218" s="48">
        <f>+BOTICA!G216</f>
        <v>0</v>
      </c>
      <c r="C218" s="49">
        <f>+BOTICA!B216</f>
        <v>0</v>
      </c>
      <c r="D218" s="50">
        <f>+BOTICA!M216</f>
        <v>0</v>
      </c>
      <c r="F218" s="49">
        <f>+BOTICA!C216</f>
        <v>0</v>
      </c>
      <c r="G218" s="51">
        <f>+BOTICA!A216</f>
        <v>0</v>
      </c>
      <c r="H218" s="49">
        <f>+BOTICA!H216</f>
        <v>0</v>
      </c>
      <c r="I218" s="49">
        <f>+BOTICA!R216</f>
        <v>0</v>
      </c>
      <c r="K218" s="49" t="str">
        <f t="shared" si="6"/>
        <v>0</v>
      </c>
      <c r="L218" s="49" t="str">
        <f t="shared" si="7"/>
        <v>0 -0</v>
      </c>
    </row>
    <row r="219" spans="2:12" x14ac:dyDescent="0.25">
      <c r="B219" s="48">
        <f>+BOTICA!G217</f>
        <v>0</v>
      </c>
      <c r="C219" s="49">
        <f>+BOTICA!B217</f>
        <v>0</v>
      </c>
      <c r="D219" s="50">
        <f>+BOTICA!M217</f>
        <v>0</v>
      </c>
      <c r="F219" s="49">
        <f>+BOTICA!C217</f>
        <v>0</v>
      </c>
      <c r="G219" s="51">
        <f>+BOTICA!A217</f>
        <v>0</v>
      </c>
      <c r="H219" s="49">
        <f>+BOTICA!H217</f>
        <v>0</v>
      </c>
      <c r="I219" s="49">
        <f>+BOTICA!R217</f>
        <v>0</v>
      </c>
      <c r="K219" s="49" t="str">
        <f t="shared" si="6"/>
        <v>0</v>
      </c>
      <c r="L219" s="49" t="str">
        <f t="shared" si="7"/>
        <v>0 -0</v>
      </c>
    </row>
    <row r="220" spans="2:12" x14ac:dyDescent="0.25">
      <c r="B220" s="48">
        <f>+BOTICA!G218</f>
        <v>0</v>
      </c>
      <c r="C220" s="49">
        <f>+BOTICA!B218</f>
        <v>0</v>
      </c>
      <c r="D220" s="50">
        <f>+BOTICA!M218</f>
        <v>0</v>
      </c>
      <c r="F220" s="49">
        <f>+BOTICA!C218</f>
        <v>0</v>
      </c>
      <c r="G220" s="51">
        <f>+BOTICA!A218</f>
        <v>0</v>
      </c>
      <c r="H220" s="49">
        <f>+BOTICA!H218</f>
        <v>0</v>
      </c>
      <c r="I220" s="49">
        <f>+BOTICA!R218</f>
        <v>0</v>
      </c>
      <c r="K220" s="49" t="str">
        <f t="shared" si="6"/>
        <v>0</v>
      </c>
      <c r="L220" s="49" t="str">
        <f t="shared" si="7"/>
        <v>0 -0</v>
      </c>
    </row>
    <row r="221" spans="2:12" x14ac:dyDescent="0.25">
      <c r="B221" s="48">
        <f>+BOTICA!G219</f>
        <v>0</v>
      </c>
      <c r="C221" s="49">
        <f>+BOTICA!B219</f>
        <v>0</v>
      </c>
      <c r="D221" s="50">
        <f>+BOTICA!M219</f>
        <v>0</v>
      </c>
      <c r="F221" s="49">
        <f>+BOTICA!C219</f>
        <v>0</v>
      </c>
      <c r="G221" s="51">
        <f>+BOTICA!A219</f>
        <v>0</v>
      </c>
      <c r="H221" s="49">
        <f>+BOTICA!H219</f>
        <v>0</v>
      </c>
      <c r="I221" s="49">
        <f>+BOTICA!R219</f>
        <v>0</v>
      </c>
      <c r="K221" s="49" t="str">
        <f t="shared" si="6"/>
        <v>0</v>
      </c>
      <c r="L221" s="49" t="str">
        <f t="shared" si="7"/>
        <v>0 -0</v>
      </c>
    </row>
    <row r="222" spans="2:12" x14ac:dyDescent="0.25">
      <c r="B222" s="48">
        <f>+BOTICA!G220</f>
        <v>0</v>
      </c>
      <c r="C222" s="49">
        <f>+BOTICA!B220</f>
        <v>0</v>
      </c>
      <c r="D222" s="50">
        <f>+BOTICA!M220</f>
        <v>0</v>
      </c>
      <c r="F222" s="49">
        <f>+BOTICA!C220</f>
        <v>0</v>
      </c>
      <c r="G222" s="51">
        <f>+BOTICA!A220</f>
        <v>0</v>
      </c>
      <c r="H222" s="49">
        <f>+BOTICA!H220</f>
        <v>0</v>
      </c>
      <c r="I222" s="49">
        <f>+BOTICA!R220</f>
        <v>0</v>
      </c>
      <c r="K222" s="49" t="str">
        <f t="shared" si="6"/>
        <v>0</v>
      </c>
      <c r="L222" s="49" t="str">
        <f t="shared" si="7"/>
        <v>0 -0</v>
      </c>
    </row>
    <row r="223" spans="2:12" x14ac:dyDescent="0.25">
      <c r="B223" s="48">
        <f>+BOTICA!G221</f>
        <v>0</v>
      </c>
      <c r="C223" s="49">
        <f>+BOTICA!B221</f>
        <v>0</v>
      </c>
      <c r="D223" s="50">
        <f>+BOTICA!M221</f>
        <v>0</v>
      </c>
      <c r="F223" s="49">
        <f>+BOTICA!C221</f>
        <v>0</v>
      </c>
      <c r="G223" s="51">
        <f>+BOTICA!A221</f>
        <v>0</v>
      </c>
      <c r="H223" s="49">
        <f>+BOTICA!H221</f>
        <v>0</v>
      </c>
      <c r="I223" s="49">
        <f>+BOTICA!R221</f>
        <v>0</v>
      </c>
      <c r="K223" s="49" t="str">
        <f t="shared" si="6"/>
        <v>0</v>
      </c>
      <c r="L223" s="49" t="str">
        <f t="shared" si="7"/>
        <v>0 -0</v>
      </c>
    </row>
    <row r="224" spans="2:12" x14ac:dyDescent="0.25">
      <c r="B224" s="48">
        <f>+BOTICA!G222</f>
        <v>0</v>
      </c>
      <c r="C224" s="49">
        <f>+BOTICA!B222</f>
        <v>0</v>
      </c>
      <c r="D224" s="50">
        <f>+BOTICA!M222</f>
        <v>0</v>
      </c>
      <c r="F224" s="49">
        <f>+BOTICA!C222</f>
        <v>0</v>
      </c>
      <c r="G224" s="51">
        <f>+BOTICA!A222</f>
        <v>0</v>
      </c>
      <c r="H224" s="49">
        <f>+BOTICA!H222</f>
        <v>0</v>
      </c>
      <c r="I224" s="49">
        <f>+BOTICA!R222</f>
        <v>0</v>
      </c>
      <c r="K224" s="49" t="str">
        <f t="shared" si="6"/>
        <v>0</v>
      </c>
      <c r="L224" s="49" t="str">
        <f t="shared" si="7"/>
        <v>0 -0</v>
      </c>
    </row>
    <row r="225" spans="2:12" x14ac:dyDescent="0.25">
      <c r="B225" s="48">
        <f>+BOTICA!G223</f>
        <v>0</v>
      </c>
      <c r="C225" s="49">
        <f>+BOTICA!B223</f>
        <v>0</v>
      </c>
      <c r="D225" s="50">
        <f>+BOTICA!M223</f>
        <v>0</v>
      </c>
      <c r="F225" s="49">
        <f>+BOTICA!C223</f>
        <v>0</v>
      </c>
      <c r="G225" s="51">
        <f>+BOTICA!A223</f>
        <v>0</v>
      </c>
      <c r="H225" s="49">
        <f>+BOTICA!H223</f>
        <v>0</v>
      </c>
      <c r="I225" s="49">
        <f>+BOTICA!R223</f>
        <v>0</v>
      </c>
      <c r="K225" s="49" t="str">
        <f t="shared" si="6"/>
        <v>0</v>
      </c>
      <c r="L225" s="49" t="str">
        <f t="shared" si="7"/>
        <v>0 -0</v>
      </c>
    </row>
    <row r="226" spans="2:12" x14ac:dyDescent="0.25">
      <c r="B226" s="48">
        <f>+BOTICA!G224</f>
        <v>0</v>
      </c>
      <c r="C226" s="49">
        <f>+BOTICA!B224</f>
        <v>0</v>
      </c>
      <c r="D226" s="50">
        <f>+BOTICA!M224</f>
        <v>0</v>
      </c>
      <c r="F226" s="49">
        <f>+BOTICA!C224</f>
        <v>0</v>
      </c>
      <c r="G226" s="51">
        <f>+BOTICA!A224</f>
        <v>0</v>
      </c>
      <c r="H226" s="49">
        <f>+BOTICA!H224</f>
        <v>0</v>
      </c>
      <c r="I226" s="49">
        <f>+BOTICA!R224</f>
        <v>0</v>
      </c>
      <c r="K226" s="49" t="str">
        <f t="shared" si="6"/>
        <v>0</v>
      </c>
      <c r="L226" s="49" t="str">
        <f t="shared" si="7"/>
        <v>0 -0</v>
      </c>
    </row>
    <row r="227" spans="2:12" x14ac:dyDescent="0.25">
      <c r="B227" s="48">
        <f>+BOTICA!G225</f>
        <v>0</v>
      </c>
      <c r="C227" s="49">
        <f>+BOTICA!B225</f>
        <v>0</v>
      </c>
      <c r="D227" s="50">
        <f>+BOTICA!M225</f>
        <v>0</v>
      </c>
      <c r="F227" s="49">
        <f>+BOTICA!C225</f>
        <v>0</v>
      </c>
      <c r="G227" s="51">
        <f>+BOTICA!A225</f>
        <v>0</v>
      </c>
      <c r="H227" s="49">
        <f>+BOTICA!H225</f>
        <v>0</v>
      </c>
      <c r="I227" s="49">
        <f>+BOTICA!R225</f>
        <v>0</v>
      </c>
      <c r="K227" s="49" t="str">
        <f t="shared" si="6"/>
        <v>0</v>
      </c>
      <c r="L227" s="49" t="str">
        <f t="shared" si="7"/>
        <v>0 -0</v>
      </c>
    </row>
    <row r="228" spans="2:12" x14ac:dyDescent="0.25">
      <c r="B228" s="48">
        <f>+BOTICA!G226</f>
        <v>0</v>
      </c>
      <c r="C228" s="49">
        <f>+BOTICA!B226</f>
        <v>0</v>
      </c>
      <c r="D228" s="50">
        <f>+BOTICA!M226</f>
        <v>0</v>
      </c>
      <c r="F228" s="49">
        <f>+BOTICA!C226</f>
        <v>0</v>
      </c>
      <c r="G228" s="51">
        <f>+BOTICA!A226</f>
        <v>0</v>
      </c>
      <c r="H228" s="49">
        <f>+BOTICA!H226</f>
        <v>0</v>
      </c>
      <c r="I228" s="49">
        <f>+BOTICA!R226</f>
        <v>0</v>
      </c>
      <c r="K228" s="49" t="str">
        <f t="shared" si="6"/>
        <v>0</v>
      </c>
      <c r="L228" s="49" t="str">
        <f t="shared" si="7"/>
        <v>0 -0</v>
      </c>
    </row>
    <row r="229" spans="2:12" x14ac:dyDescent="0.25">
      <c r="B229" s="48">
        <f>+BOTICA!G227</f>
        <v>0</v>
      </c>
      <c r="C229" s="49">
        <f>+BOTICA!B227</f>
        <v>0</v>
      </c>
      <c r="D229" s="50">
        <f>+BOTICA!M227</f>
        <v>0</v>
      </c>
      <c r="F229" s="49">
        <f>+BOTICA!C227</f>
        <v>0</v>
      </c>
      <c r="G229" s="51">
        <f>+BOTICA!A227</f>
        <v>0</v>
      </c>
      <c r="H229" s="49">
        <f>+BOTICA!H227</f>
        <v>0</v>
      </c>
      <c r="I229" s="49">
        <f>+BOTICA!R227</f>
        <v>0</v>
      </c>
      <c r="K229" s="49" t="str">
        <f t="shared" si="6"/>
        <v>0</v>
      </c>
      <c r="L229" s="49" t="str">
        <f t="shared" si="7"/>
        <v>0 -0</v>
      </c>
    </row>
    <row r="230" spans="2:12" x14ac:dyDescent="0.25">
      <c r="B230" s="48">
        <f>+BOTICA!G228</f>
        <v>0</v>
      </c>
      <c r="C230" s="49">
        <f>+BOTICA!B228</f>
        <v>0</v>
      </c>
      <c r="D230" s="50">
        <f>+BOTICA!M228</f>
        <v>0</v>
      </c>
      <c r="F230" s="49">
        <f>+BOTICA!C228</f>
        <v>0</v>
      </c>
      <c r="G230" s="51">
        <f>+BOTICA!A228</f>
        <v>0</v>
      </c>
      <c r="H230" s="49">
        <f>+BOTICA!H228</f>
        <v>0</v>
      </c>
      <c r="I230" s="49">
        <f>+BOTICA!R228</f>
        <v>0</v>
      </c>
      <c r="K230" s="49" t="str">
        <f t="shared" si="6"/>
        <v>0</v>
      </c>
      <c r="L230" s="49" t="str">
        <f t="shared" si="7"/>
        <v>0 -0</v>
      </c>
    </row>
    <row r="231" spans="2:12" x14ac:dyDescent="0.25">
      <c r="B231" s="48">
        <f>+BOTICA!G229</f>
        <v>0</v>
      </c>
      <c r="C231" s="49">
        <f>+BOTICA!B229</f>
        <v>0</v>
      </c>
      <c r="D231" s="50">
        <f>+BOTICA!M229</f>
        <v>0</v>
      </c>
      <c r="F231" s="49">
        <f>+BOTICA!C229</f>
        <v>0</v>
      </c>
      <c r="G231" s="51">
        <f>+BOTICA!A229</f>
        <v>0</v>
      </c>
      <c r="H231" s="49">
        <f>+BOTICA!H229</f>
        <v>0</v>
      </c>
      <c r="I231" s="49">
        <f>+BOTICA!R229</f>
        <v>0</v>
      </c>
      <c r="K231" s="49" t="str">
        <f t="shared" si="6"/>
        <v>0</v>
      </c>
      <c r="L231" s="49" t="str">
        <f t="shared" si="7"/>
        <v>0 -0</v>
      </c>
    </row>
    <row r="232" spans="2:12" x14ac:dyDescent="0.25">
      <c r="B232" s="48">
        <f>+BOTICA!G230</f>
        <v>0</v>
      </c>
      <c r="C232" s="49">
        <f>+BOTICA!B230</f>
        <v>0</v>
      </c>
      <c r="D232" s="50">
        <f>+BOTICA!M230</f>
        <v>0</v>
      </c>
      <c r="F232" s="49">
        <f>+BOTICA!C230</f>
        <v>0</v>
      </c>
      <c r="G232" s="51">
        <f>+BOTICA!A230</f>
        <v>0</v>
      </c>
      <c r="H232" s="49">
        <f>+BOTICA!H230</f>
        <v>0</v>
      </c>
      <c r="I232" s="49">
        <f>+BOTICA!R230</f>
        <v>0</v>
      </c>
      <c r="K232" s="49" t="str">
        <f t="shared" si="6"/>
        <v>0</v>
      </c>
      <c r="L232" s="49" t="str">
        <f t="shared" si="7"/>
        <v>0 -0</v>
      </c>
    </row>
    <row r="233" spans="2:12" x14ac:dyDescent="0.25">
      <c r="B233" s="48">
        <f>+BOTICA!G231</f>
        <v>0</v>
      </c>
      <c r="C233" s="49">
        <f>+BOTICA!B231</f>
        <v>0</v>
      </c>
      <c r="D233" s="50">
        <f>+BOTICA!M231</f>
        <v>0</v>
      </c>
      <c r="F233" s="49">
        <f>+BOTICA!C231</f>
        <v>0</v>
      </c>
      <c r="G233" s="51">
        <f>+BOTICA!A231</f>
        <v>0</v>
      </c>
      <c r="H233" s="49">
        <f>+BOTICA!H231</f>
        <v>0</v>
      </c>
      <c r="I233" s="49">
        <f>+BOTICA!R231</f>
        <v>0</v>
      </c>
      <c r="K233" s="49" t="str">
        <f t="shared" si="6"/>
        <v>0</v>
      </c>
      <c r="L233" s="49" t="str">
        <f t="shared" si="7"/>
        <v>0 -0</v>
      </c>
    </row>
    <row r="234" spans="2:12" x14ac:dyDescent="0.25">
      <c r="B234" s="48">
        <f>+BOTICA!G232</f>
        <v>0</v>
      </c>
      <c r="C234" s="49">
        <f>+BOTICA!B232</f>
        <v>0</v>
      </c>
      <c r="D234" s="50">
        <f>+BOTICA!M232</f>
        <v>0</v>
      </c>
      <c r="F234" s="49">
        <f>+BOTICA!C232</f>
        <v>0</v>
      </c>
      <c r="G234" s="51">
        <f>+BOTICA!A232</f>
        <v>0</v>
      </c>
      <c r="H234" s="49">
        <f>+BOTICA!H232</f>
        <v>0</v>
      </c>
      <c r="I234" s="49">
        <f>+BOTICA!R232</f>
        <v>0</v>
      </c>
      <c r="K234" s="49" t="str">
        <f t="shared" si="6"/>
        <v>0</v>
      </c>
      <c r="L234" s="49" t="str">
        <f t="shared" si="7"/>
        <v>0 -0</v>
      </c>
    </row>
    <row r="235" spans="2:12" x14ac:dyDescent="0.25">
      <c r="B235" s="48">
        <f>+BOTICA!G233</f>
        <v>0</v>
      </c>
      <c r="C235" s="49">
        <f>+BOTICA!B233</f>
        <v>0</v>
      </c>
      <c r="D235" s="50">
        <f>+BOTICA!M233</f>
        <v>0</v>
      </c>
      <c r="F235" s="49">
        <f>+BOTICA!C233</f>
        <v>0</v>
      </c>
      <c r="G235" s="51">
        <f>+BOTICA!A233</f>
        <v>0</v>
      </c>
      <c r="H235" s="49">
        <f>+BOTICA!H233</f>
        <v>0</v>
      </c>
      <c r="I235" s="49">
        <f>+BOTICA!R233</f>
        <v>0</v>
      </c>
      <c r="K235" s="49" t="str">
        <f t="shared" si="6"/>
        <v>0</v>
      </c>
      <c r="L235" s="49" t="str">
        <f t="shared" si="7"/>
        <v>0 -0</v>
      </c>
    </row>
    <row r="236" spans="2:12" x14ac:dyDescent="0.25">
      <c r="B236" s="48">
        <f>+BOTICA!G234</f>
        <v>0</v>
      </c>
      <c r="C236" s="49">
        <f>+BOTICA!B234</f>
        <v>0</v>
      </c>
      <c r="D236" s="50">
        <f>+BOTICA!M234</f>
        <v>0</v>
      </c>
      <c r="F236" s="49">
        <f>+BOTICA!C234</f>
        <v>0</v>
      </c>
      <c r="G236" s="51">
        <f>+BOTICA!A234</f>
        <v>0</v>
      </c>
      <c r="H236" s="49">
        <f>+BOTICA!H234</f>
        <v>0</v>
      </c>
      <c r="I236" s="49">
        <f>+BOTICA!R234</f>
        <v>0</v>
      </c>
      <c r="K236" s="49" t="str">
        <f t="shared" si="6"/>
        <v>0</v>
      </c>
      <c r="L236" s="49" t="str">
        <f t="shared" si="7"/>
        <v>0 -0</v>
      </c>
    </row>
    <row r="237" spans="2:12" x14ac:dyDescent="0.25">
      <c r="B237" s="48">
        <f>+BOTICA!G235</f>
        <v>0</v>
      </c>
      <c r="C237" s="49">
        <f>+BOTICA!B235</f>
        <v>0</v>
      </c>
      <c r="D237" s="50">
        <f>+BOTICA!M235</f>
        <v>0</v>
      </c>
      <c r="F237" s="49">
        <f>+BOTICA!C235</f>
        <v>0</v>
      </c>
      <c r="G237" s="51">
        <f>+BOTICA!A235</f>
        <v>0</v>
      </c>
      <c r="H237" s="49">
        <f>+BOTICA!H235</f>
        <v>0</v>
      </c>
      <c r="I237" s="49">
        <f>+BOTICA!R235</f>
        <v>0</v>
      </c>
      <c r="K237" s="49" t="str">
        <f t="shared" si="6"/>
        <v>0</v>
      </c>
      <c r="L237" s="49" t="str">
        <f t="shared" si="7"/>
        <v>0 -0</v>
      </c>
    </row>
    <row r="238" spans="2:12" x14ac:dyDescent="0.25">
      <c r="B238" s="48">
        <f>+BOTICA!G236</f>
        <v>0</v>
      </c>
      <c r="C238" s="49">
        <f>+BOTICA!B236</f>
        <v>0</v>
      </c>
      <c r="D238" s="50">
        <f>+BOTICA!M236</f>
        <v>0</v>
      </c>
      <c r="F238" s="49">
        <f>+BOTICA!C236</f>
        <v>0</v>
      </c>
      <c r="G238" s="51">
        <f>+BOTICA!A236</f>
        <v>0</v>
      </c>
      <c r="H238" s="49">
        <f>+BOTICA!H236</f>
        <v>0</v>
      </c>
      <c r="I238" s="49">
        <f>+BOTICA!R236</f>
        <v>0</v>
      </c>
      <c r="K238" s="49" t="str">
        <f t="shared" si="6"/>
        <v>0</v>
      </c>
      <c r="L238" s="49" t="str">
        <f t="shared" si="7"/>
        <v>0 -0</v>
      </c>
    </row>
    <row r="239" spans="2:12" x14ac:dyDescent="0.25">
      <c r="B239" s="48">
        <f>+BOTICA!G237</f>
        <v>0</v>
      </c>
      <c r="C239" s="49">
        <f>+BOTICA!B237</f>
        <v>0</v>
      </c>
      <c r="D239" s="50">
        <f>+BOTICA!M237</f>
        <v>0</v>
      </c>
      <c r="F239" s="49">
        <f>+BOTICA!C237</f>
        <v>0</v>
      </c>
      <c r="G239" s="51">
        <f>+BOTICA!A237</f>
        <v>0</v>
      </c>
      <c r="H239" s="49">
        <f>+BOTICA!H237</f>
        <v>0</v>
      </c>
      <c r="I239" s="49">
        <f>+BOTICA!R237</f>
        <v>0</v>
      </c>
      <c r="K239" s="49" t="str">
        <f t="shared" si="6"/>
        <v>0</v>
      </c>
      <c r="L239" s="49" t="str">
        <f t="shared" si="7"/>
        <v>0 -0</v>
      </c>
    </row>
    <row r="240" spans="2:12" x14ac:dyDescent="0.25">
      <c r="B240" s="48">
        <f>+BOTICA!G238</f>
        <v>0</v>
      </c>
      <c r="C240" s="49">
        <f>+BOTICA!B238</f>
        <v>0</v>
      </c>
      <c r="D240" s="50">
        <f>+BOTICA!M238</f>
        <v>0</v>
      </c>
      <c r="F240" s="49">
        <f>+BOTICA!C238</f>
        <v>0</v>
      </c>
      <c r="G240" s="51">
        <f>+BOTICA!A238</f>
        <v>0</v>
      </c>
      <c r="H240" s="49">
        <f>+BOTICA!H238</f>
        <v>0</v>
      </c>
      <c r="I240" s="49">
        <f>+BOTICA!R238</f>
        <v>0</v>
      </c>
      <c r="K240" s="49" t="str">
        <f t="shared" si="6"/>
        <v>0</v>
      </c>
      <c r="L240" s="49" t="str">
        <f t="shared" si="7"/>
        <v>0 -0</v>
      </c>
    </row>
    <row r="241" spans="2:12" x14ac:dyDescent="0.25">
      <c r="B241" s="48">
        <f>+BOTICA!G239</f>
        <v>0</v>
      </c>
      <c r="C241" s="49">
        <f>+BOTICA!B239</f>
        <v>0</v>
      </c>
      <c r="D241" s="50">
        <f>+BOTICA!M239</f>
        <v>0</v>
      </c>
      <c r="F241" s="49">
        <f>+BOTICA!C239</f>
        <v>0</v>
      </c>
      <c r="G241" s="51">
        <f>+BOTICA!A239</f>
        <v>0</v>
      </c>
      <c r="H241" s="49">
        <f>+BOTICA!H239</f>
        <v>0</v>
      </c>
      <c r="I241" s="49">
        <f>+BOTICA!R239</f>
        <v>0</v>
      </c>
      <c r="K241" s="49" t="str">
        <f t="shared" si="6"/>
        <v>0</v>
      </c>
      <c r="L241" s="49" t="str">
        <f t="shared" si="7"/>
        <v>0 -0</v>
      </c>
    </row>
    <row r="242" spans="2:12" x14ac:dyDescent="0.25">
      <c r="B242" s="48">
        <f>+BOTICA!G240</f>
        <v>0</v>
      </c>
      <c r="C242" s="49">
        <f>+BOTICA!B240</f>
        <v>0</v>
      </c>
      <c r="D242" s="50">
        <f>+BOTICA!M240</f>
        <v>0</v>
      </c>
      <c r="F242" s="49">
        <f>+BOTICA!C240</f>
        <v>0</v>
      </c>
      <c r="G242" s="51">
        <f>+BOTICA!A240</f>
        <v>0</v>
      </c>
      <c r="H242" s="49">
        <f>+BOTICA!H240</f>
        <v>0</v>
      </c>
      <c r="I242" s="49">
        <f>+BOTICA!R240</f>
        <v>0</v>
      </c>
      <c r="K242" s="49" t="str">
        <f t="shared" si="6"/>
        <v>0</v>
      </c>
      <c r="L242" s="49" t="str">
        <f t="shared" si="7"/>
        <v>0 -0</v>
      </c>
    </row>
    <row r="243" spans="2:12" x14ac:dyDescent="0.25">
      <c r="B243" s="48">
        <f>+BOTICA!G241</f>
        <v>0</v>
      </c>
      <c r="C243" s="49">
        <f>+BOTICA!B241</f>
        <v>0</v>
      </c>
      <c r="D243" s="50">
        <f>+BOTICA!M241</f>
        <v>0</v>
      </c>
      <c r="F243" s="49">
        <f>+BOTICA!C241</f>
        <v>0</v>
      </c>
      <c r="G243" s="51">
        <f>+BOTICA!A241</f>
        <v>0</v>
      </c>
      <c r="H243" s="49">
        <f>+BOTICA!H241</f>
        <v>0</v>
      </c>
      <c r="I243" s="49">
        <f>+BOTICA!R241</f>
        <v>0</v>
      </c>
      <c r="K243" s="49" t="str">
        <f t="shared" si="6"/>
        <v>0</v>
      </c>
      <c r="L243" s="49" t="str">
        <f t="shared" si="7"/>
        <v>0 -0</v>
      </c>
    </row>
    <row r="244" spans="2:12" x14ac:dyDescent="0.25">
      <c r="B244" s="48">
        <f>+BOTICA!G242</f>
        <v>0</v>
      </c>
      <c r="C244" s="49">
        <f>+BOTICA!B242</f>
        <v>0</v>
      </c>
      <c r="D244" s="50">
        <f>+BOTICA!M242</f>
        <v>0</v>
      </c>
      <c r="F244" s="49">
        <f>+BOTICA!C242</f>
        <v>0</v>
      </c>
      <c r="G244" s="51">
        <f>+BOTICA!A242</f>
        <v>0</v>
      </c>
      <c r="H244" s="49">
        <f>+BOTICA!H242</f>
        <v>0</v>
      </c>
      <c r="I244" s="49">
        <f>+BOTICA!R242</f>
        <v>0</v>
      </c>
      <c r="K244" s="49" t="str">
        <f t="shared" si="6"/>
        <v>0</v>
      </c>
      <c r="L244" s="49" t="str">
        <f t="shared" si="7"/>
        <v>0 -0</v>
      </c>
    </row>
    <row r="245" spans="2:12" x14ac:dyDescent="0.25">
      <c r="B245" s="48">
        <f>+BOTICA!G243</f>
        <v>0</v>
      </c>
      <c r="C245" s="49">
        <f>+BOTICA!B243</f>
        <v>0</v>
      </c>
      <c r="D245" s="50">
        <f>+BOTICA!M243</f>
        <v>0</v>
      </c>
      <c r="F245" s="49">
        <f>+BOTICA!C243</f>
        <v>0</v>
      </c>
      <c r="G245" s="51">
        <f>+BOTICA!A243</f>
        <v>0</v>
      </c>
      <c r="H245" s="49">
        <f>+BOTICA!H243</f>
        <v>0</v>
      </c>
      <c r="I245" s="49">
        <f>+BOTICA!R243</f>
        <v>0</v>
      </c>
      <c r="K245" s="49" t="str">
        <f t="shared" si="6"/>
        <v>0</v>
      </c>
      <c r="L245" s="49" t="str">
        <f t="shared" si="7"/>
        <v>0 -0</v>
      </c>
    </row>
    <row r="246" spans="2:12" x14ac:dyDescent="0.25">
      <c r="B246" s="48">
        <f>+BOTICA!G244</f>
        <v>0</v>
      </c>
      <c r="C246" s="49">
        <f>+BOTICA!B244</f>
        <v>0</v>
      </c>
      <c r="D246" s="50">
        <f>+BOTICA!M244</f>
        <v>0</v>
      </c>
      <c r="F246" s="49">
        <f>+BOTICA!C244</f>
        <v>0</v>
      </c>
      <c r="G246" s="51">
        <f>+BOTICA!A244</f>
        <v>0</v>
      </c>
      <c r="H246" s="49">
        <f>+BOTICA!H244</f>
        <v>0</v>
      </c>
      <c r="I246" s="49">
        <f>+BOTICA!R244</f>
        <v>0</v>
      </c>
      <c r="K246" s="49" t="str">
        <f t="shared" si="6"/>
        <v>0</v>
      </c>
      <c r="L246" s="49" t="str">
        <f t="shared" si="7"/>
        <v>0 -0</v>
      </c>
    </row>
    <row r="247" spans="2:12" x14ac:dyDescent="0.25">
      <c r="B247" s="48">
        <f>+BOTICA!G245</f>
        <v>0</v>
      </c>
      <c r="C247" s="49">
        <f>+BOTICA!B245</f>
        <v>0</v>
      </c>
      <c r="D247" s="50">
        <f>+BOTICA!M245</f>
        <v>0</v>
      </c>
      <c r="F247" s="49">
        <f>+BOTICA!C245</f>
        <v>0</v>
      </c>
      <c r="G247" s="51">
        <f>+BOTICA!A245</f>
        <v>0</v>
      </c>
      <c r="H247" s="49">
        <f>+BOTICA!H245</f>
        <v>0</v>
      </c>
      <c r="I247" s="49">
        <f>+BOTICA!R245</f>
        <v>0</v>
      </c>
      <c r="K247" s="49" t="str">
        <f t="shared" si="6"/>
        <v>0</v>
      </c>
      <c r="L247" s="49" t="str">
        <f t="shared" si="7"/>
        <v>0 -0</v>
      </c>
    </row>
    <row r="248" spans="2:12" x14ac:dyDescent="0.25">
      <c r="B248" s="48">
        <f>+BOTICA!G246</f>
        <v>0</v>
      </c>
      <c r="C248" s="49">
        <f>+BOTICA!B246</f>
        <v>0</v>
      </c>
      <c r="D248" s="50">
        <f>+BOTICA!M246</f>
        <v>0</v>
      </c>
      <c r="F248" s="49">
        <f>+BOTICA!C246</f>
        <v>0</v>
      </c>
      <c r="G248" s="51">
        <f>+BOTICA!A246</f>
        <v>0</v>
      </c>
      <c r="H248" s="49">
        <f>+BOTICA!H246</f>
        <v>0</v>
      </c>
      <c r="I248" s="49">
        <f>+BOTICA!R246</f>
        <v>0</v>
      </c>
      <c r="K248" s="49" t="str">
        <f t="shared" si="6"/>
        <v>0</v>
      </c>
      <c r="L248" s="49" t="str">
        <f t="shared" si="7"/>
        <v>0 -0</v>
      </c>
    </row>
    <row r="249" spans="2:12" x14ac:dyDescent="0.25">
      <c r="B249" s="48">
        <f>+BOTICA!G247</f>
        <v>0</v>
      </c>
      <c r="C249" s="49">
        <f>+BOTICA!B247</f>
        <v>0</v>
      </c>
      <c r="D249" s="50">
        <f>+BOTICA!M247</f>
        <v>0</v>
      </c>
      <c r="F249" s="49">
        <f>+BOTICA!C247</f>
        <v>0</v>
      </c>
      <c r="G249" s="51">
        <f>+BOTICA!A247</f>
        <v>0</v>
      </c>
      <c r="H249" s="49">
        <f>+BOTICA!H247</f>
        <v>0</v>
      </c>
      <c r="I249" s="49">
        <f>+BOTICA!R247</f>
        <v>0</v>
      </c>
      <c r="K249" s="49" t="str">
        <f t="shared" si="6"/>
        <v>0</v>
      </c>
      <c r="L249" s="49" t="str">
        <f t="shared" si="7"/>
        <v>0 -0</v>
      </c>
    </row>
    <row r="250" spans="2:12" x14ac:dyDescent="0.25">
      <c r="B250" s="48">
        <f>+BOTICA!G248</f>
        <v>0</v>
      </c>
      <c r="C250" s="49">
        <f>+BOTICA!B248</f>
        <v>0</v>
      </c>
      <c r="D250" s="50">
        <f>+BOTICA!M248</f>
        <v>0</v>
      </c>
      <c r="F250" s="49">
        <f>+BOTICA!C248</f>
        <v>0</v>
      </c>
      <c r="G250" s="51">
        <f>+BOTICA!A248</f>
        <v>0</v>
      </c>
      <c r="H250" s="49">
        <f>+BOTICA!H248</f>
        <v>0</v>
      </c>
      <c r="I250" s="49">
        <f>+BOTICA!R248</f>
        <v>0</v>
      </c>
      <c r="K250" s="49" t="str">
        <f t="shared" ref="K250:K290" si="8">CONCATENATE(,G250)</f>
        <v>0</v>
      </c>
      <c r="L250" s="49" t="str">
        <f t="shared" ref="L250:L290" si="9">CONCATENATE(K250," -",C250)</f>
        <v>0 -0</v>
      </c>
    </row>
    <row r="251" spans="2:12" x14ac:dyDescent="0.25">
      <c r="B251" s="48">
        <f>+BOTICA!G249</f>
        <v>0</v>
      </c>
      <c r="C251" s="49">
        <f>+BOTICA!B249</f>
        <v>0</v>
      </c>
      <c r="D251" s="50">
        <f>+BOTICA!M249</f>
        <v>0</v>
      </c>
      <c r="F251" s="49">
        <f>+BOTICA!C249</f>
        <v>0</v>
      </c>
      <c r="G251" s="51">
        <f>+BOTICA!A249</f>
        <v>0</v>
      </c>
      <c r="H251" s="49">
        <f>+BOTICA!H249</f>
        <v>0</v>
      </c>
      <c r="I251" s="49">
        <f>+BOTICA!R249</f>
        <v>0</v>
      </c>
      <c r="K251" s="49" t="str">
        <f t="shared" si="8"/>
        <v>0</v>
      </c>
      <c r="L251" s="49" t="str">
        <f t="shared" si="9"/>
        <v>0 -0</v>
      </c>
    </row>
    <row r="252" spans="2:12" x14ac:dyDescent="0.25">
      <c r="B252" s="48">
        <f>+BOTICA!G250</f>
        <v>0</v>
      </c>
      <c r="C252" s="49">
        <f>+BOTICA!B250</f>
        <v>0</v>
      </c>
      <c r="D252" s="50">
        <f>+BOTICA!M250</f>
        <v>0</v>
      </c>
      <c r="F252" s="49">
        <f>+BOTICA!C250</f>
        <v>0</v>
      </c>
      <c r="G252" s="51">
        <f>+BOTICA!A250</f>
        <v>0</v>
      </c>
      <c r="H252" s="49">
        <f>+BOTICA!H250</f>
        <v>0</v>
      </c>
      <c r="I252" s="49">
        <f>+BOTICA!R250</f>
        <v>0</v>
      </c>
      <c r="K252" s="49" t="str">
        <f t="shared" si="8"/>
        <v>0</v>
      </c>
      <c r="L252" s="49" t="str">
        <f t="shared" si="9"/>
        <v>0 -0</v>
      </c>
    </row>
    <row r="253" spans="2:12" x14ac:dyDescent="0.25">
      <c r="B253" s="48">
        <f>+BOTICA!G251</f>
        <v>0</v>
      </c>
      <c r="C253" s="49">
        <f>+BOTICA!B251</f>
        <v>0</v>
      </c>
      <c r="D253" s="50">
        <f>+BOTICA!M251</f>
        <v>0</v>
      </c>
      <c r="F253" s="49">
        <f>+BOTICA!C251</f>
        <v>0</v>
      </c>
      <c r="G253" s="51">
        <f>+BOTICA!A251</f>
        <v>0</v>
      </c>
      <c r="H253" s="49">
        <f>+BOTICA!H251</f>
        <v>0</v>
      </c>
      <c r="I253" s="49">
        <f>+BOTICA!R251</f>
        <v>0</v>
      </c>
      <c r="K253" s="49" t="str">
        <f t="shared" si="8"/>
        <v>0</v>
      </c>
      <c r="L253" s="49" t="str">
        <f t="shared" si="9"/>
        <v>0 -0</v>
      </c>
    </row>
    <row r="254" spans="2:12" x14ac:dyDescent="0.25">
      <c r="B254" s="48">
        <f>+BOTICA!G252</f>
        <v>0</v>
      </c>
      <c r="C254" s="49">
        <f>+BOTICA!B252</f>
        <v>0</v>
      </c>
      <c r="D254" s="50">
        <f>+BOTICA!M252</f>
        <v>0</v>
      </c>
      <c r="F254" s="49">
        <f>+BOTICA!C252</f>
        <v>0</v>
      </c>
      <c r="G254" s="51">
        <f>+BOTICA!A252</f>
        <v>0</v>
      </c>
      <c r="H254" s="49">
        <f>+BOTICA!H252</f>
        <v>0</v>
      </c>
      <c r="I254" s="49">
        <f>+BOTICA!R252</f>
        <v>0</v>
      </c>
      <c r="K254" s="49" t="str">
        <f t="shared" si="8"/>
        <v>0</v>
      </c>
      <c r="L254" s="49" t="str">
        <f t="shared" si="9"/>
        <v>0 -0</v>
      </c>
    </row>
    <row r="255" spans="2:12" x14ac:dyDescent="0.25">
      <c r="B255" s="48">
        <f>+BOTICA!G253</f>
        <v>0</v>
      </c>
      <c r="C255" s="49">
        <f>+BOTICA!B253</f>
        <v>0</v>
      </c>
      <c r="D255" s="50">
        <f>+BOTICA!M253</f>
        <v>0</v>
      </c>
      <c r="F255" s="49">
        <f>+BOTICA!C253</f>
        <v>0</v>
      </c>
      <c r="G255" s="51">
        <f>+BOTICA!A253</f>
        <v>0</v>
      </c>
      <c r="H255" s="49">
        <f>+BOTICA!H253</f>
        <v>0</v>
      </c>
      <c r="I255" s="49">
        <f>+BOTICA!R253</f>
        <v>0</v>
      </c>
      <c r="K255" s="49" t="str">
        <f t="shared" si="8"/>
        <v>0</v>
      </c>
      <c r="L255" s="49" t="str">
        <f t="shared" si="9"/>
        <v>0 -0</v>
      </c>
    </row>
    <row r="256" spans="2:12" x14ac:dyDescent="0.25">
      <c r="B256" s="48">
        <f>+BOTICA!G254</f>
        <v>0</v>
      </c>
      <c r="C256" s="49">
        <f>+BOTICA!B254</f>
        <v>0</v>
      </c>
      <c r="D256" s="50">
        <f>+BOTICA!M254</f>
        <v>0</v>
      </c>
      <c r="F256" s="49">
        <f>+BOTICA!C254</f>
        <v>0</v>
      </c>
      <c r="G256" s="51">
        <f>+BOTICA!A254</f>
        <v>0</v>
      </c>
      <c r="H256" s="49">
        <f>+BOTICA!H254</f>
        <v>0</v>
      </c>
      <c r="I256" s="49">
        <f>+BOTICA!R254</f>
        <v>0</v>
      </c>
      <c r="K256" s="49" t="str">
        <f t="shared" si="8"/>
        <v>0</v>
      </c>
      <c r="L256" s="49" t="str">
        <f t="shared" si="9"/>
        <v>0 -0</v>
      </c>
    </row>
    <row r="257" spans="2:12" x14ac:dyDescent="0.25">
      <c r="B257" s="48">
        <f>+BOTICA!G255</f>
        <v>0</v>
      </c>
      <c r="C257" s="49">
        <f>+BOTICA!B255</f>
        <v>0</v>
      </c>
      <c r="D257" s="50">
        <f>+BOTICA!M255</f>
        <v>0</v>
      </c>
      <c r="F257" s="49">
        <f>+BOTICA!C255</f>
        <v>0</v>
      </c>
      <c r="G257" s="51">
        <f>+BOTICA!A255</f>
        <v>0</v>
      </c>
      <c r="H257" s="49">
        <f>+BOTICA!H255</f>
        <v>0</v>
      </c>
      <c r="I257" s="49">
        <f>+BOTICA!R255</f>
        <v>0</v>
      </c>
      <c r="K257" s="49" t="str">
        <f t="shared" si="8"/>
        <v>0</v>
      </c>
      <c r="L257" s="49" t="str">
        <f t="shared" si="9"/>
        <v>0 -0</v>
      </c>
    </row>
    <row r="258" spans="2:12" x14ac:dyDescent="0.25">
      <c r="B258" s="48">
        <f>+BOTICA!G256</f>
        <v>0</v>
      </c>
      <c r="C258" s="49">
        <f>+BOTICA!B256</f>
        <v>0</v>
      </c>
      <c r="D258" s="50">
        <f>+BOTICA!M256</f>
        <v>0</v>
      </c>
      <c r="F258" s="49">
        <f>+BOTICA!C256</f>
        <v>0</v>
      </c>
      <c r="G258" s="51">
        <f>+BOTICA!A256</f>
        <v>0</v>
      </c>
      <c r="H258" s="49">
        <f>+BOTICA!H256</f>
        <v>0</v>
      </c>
      <c r="I258" s="49">
        <f>+BOTICA!R256</f>
        <v>0</v>
      </c>
      <c r="K258" s="49" t="str">
        <f t="shared" si="8"/>
        <v>0</v>
      </c>
      <c r="L258" s="49" t="str">
        <f t="shared" si="9"/>
        <v>0 -0</v>
      </c>
    </row>
    <row r="259" spans="2:12" x14ac:dyDescent="0.25">
      <c r="B259" s="48">
        <f>+BOTICA!G257</f>
        <v>0</v>
      </c>
      <c r="C259" s="49">
        <f>+BOTICA!B257</f>
        <v>0</v>
      </c>
      <c r="D259" s="50">
        <f>+BOTICA!M257</f>
        <v>0</v>
      </c>
      <c r="F259" s="49">
        <f>+BOTICA!C257</f>
        <v>0</v>
      </c>
      <c r="G259" s="51">
        <f>+BOTICA!A257</f>
        <v>0</v>
      </c>
      <c r="H259" s="49">
        <f>+BOTICA!H257</f>
        <v>0</v>
      </c>
      <c r="I259" s="49">
        <f>+BOTICA!R257</f>
        <v>0</v>
      </c>
      <c r="K259" s="49" t="str">
        <f t="shared" si="8"/>
        <v>0</v>
      </c>
      <c r="L259" s="49" t="str">
        <f t="shared" si="9"/>
        <v>0 -0</v>
      </c>
    </row>
    <row r="260" spans="2:12" x14ac:dyDescent="0.25">
      <c r="B260" s="48">
        <f>+BOTICA!G258</f>
        <v>0</v>
      </c>
      <c r="C260" s="49">
        <f>+BOTICA!B258</f>
        <v>0</v>
      </c>
      <c r="D260" s="50">
        <f>+BOTICA!M258</f>
        <v>0</v>
      </c>
      <c r="F260" s="49">
        <f>+BOTICA!C258</f>
        <v>0</v>
      </c>
      <c r="G260" s="51">
        <f>+BOTICA!A258</f>
        <v>0</v>
      </c>
      <c r="H260" s="49">
        <f>+BOTICA!H258</f>
        <v>0</v>
      </c>
      <c r="I260" s="49">
        <f>+BOTICA!R258</f>
        <v>0</v>
      </c>
      <c r="K260" s="49" t="str">
        <f t="shared" si="8"/>
        <v>0</v>
      </c>
      <c r="L260" s="49" t="str">
        <f t="shared" si="9"/>
        <v>0 -0</v>
      </c>
    </row>
    <row r="261" spans="2:12" x14ac:dyDescent="0.25">
      <c r="B261" s="48">
        <f>+BOTICA!G259</f>
        <v>0</v>
      </c>
      <c r="C261" s="49">
        <f>+BOTICA!B259</f>
        <v>0</v>
      </c>
      <c r="D261" s="50">
        <f>+BOTICA!M259</f>
        <v>0</v>
      </c>
      <c r="F261" s="49">
        <f>+BOTICA!C259</f>
        <v>0</v>
      </c>
      <c r="G261" s="51">
        <f>+BOTICA!A259</f>
        <v>0</v>
      </c>
      <c r="H261" s="49">
        <f>+BOTICA!H259</f>
        <v>0</v>
      </c>
      <c r="I261" s="49">
        <f>+BOTICA!R259</f>
        <v>0</v>
      </c>
      <c r="K261" s="49" t="str">
        <f t="shared" si="8"/>
        <v>0</v>
      </c>
      <c r="L261" s="49" t="str">
        <f t="shared" si="9"/>
        <v>0 -0</v>
      </c>
    </row>
    <row r="262" spans="2:12" x14ac:dyDescent="0.25">
      <c r="B262" s="48">
        <f>+BOTICA!G260</f>
        <v>0</v>
      </c>
      <c r="C262" s="49">
        <f>+BOTICA!B260</f>
        <v>0</v>
      </c>
      <c r="D262" s="50">
        <f>+BOTICA!M260</f>
        <v>0</v>
      </c>
      <c r="F262" s="49">
        <f>+BOTICA!C260</f>
        <v>0</v>
      </c>
      <c r="G262" s="51">
        <f>+BOTICA!A260</f>
        <v>0</v>
      </c>
      <c r="H262" s="49">
        <f>+BOTICA!H260</f>
        <v>0</v>
      </c>
      <c r="I262" s="49">
        <f>+BOTICA!R260</f>
        <v>0</v>
      </c>
      <c r="K262" s="49" t="str">
        <f t="shared" si="8"/>
        <v>0</v>
      </c>
      <c r="L262" s="49" t="str">
        <f t="shared" si="9"/>
        <v>0 -0</v>
      </c>
    </row>
    <row r="263" spans="2:12" x14ac:dyDescent="0.25">
      <c r="B263" s="48">
        <f>+BOTICA!G261</f>
        <v>0</v>
      </c>
      <c r="C263" s="49">
        <f>+BOTICA!B261</f>
        <v>0</v>
      </c>
      <c r="D263" s="50">
        <f>+BOTICA!M261</f>
        <v>0</v>
      </c>
      <c r="F263" s="49">
        <f>+BOTICA!C261</f>
        <v>0</v>
      </c>
      <c r="G263" s="51">
        <f>+BOTICA!A261</f>
        <v>0</v>
      </c>
      <c r="H263" s="49">
        <f>+BOTICA!H261</f>
        <v>0</v>
      </c>
      <c r="I263" s="49">
        <f>+BOTICA!R261</f>
        <v>0</v>
      </c>
      <c r="K263" s="49" t="str">
        <f t="shared" si="8"/>
        <v>0</v>
      </c>
      <c r="L263" s="49" t="str">
        <f t="shared" si="9"/>
        <v>0 -0</v>
      </c>
    </row>
    <row r="264" spans="2:12" x14ac:dyDescent="0.25">
      <c r="B264" s="48">
        <f>+BOTICA!G262</f>
        <v>0</v>
      </c>
      <c r="C264" s="49">
        <f>+BOTICA!B262</f>
        <v>0</v>
      </c>
      <c r="D264" s="50">
        <f>+BOTICA!M262</f>
        <v>0</v>
      </c>
      <c r="F264" s="49">
        <f>+BOTICA!C262</f>
        <v>0</v>
      </c>
      <c r="G264" s="51">
        <f>+BOTICA!A262</f>
        <v>0</v>
      </c>
      <c r="H264" s="49">
        <f>+BOTICA!H262</f>
        <v>0</v>
      </c>
      <c r="I264" s="49">
        <f>+BOTICA!R262</f>
        <v>0</v>
      </c>
      <c r="K264" s="49" t="str">
        <f t="shared" si="8"/>
        <v>0</v>
      </c>
      <c r="L264" s="49" t="str">
        <f t="shared" si="9"/>
        <v>0 -0</v>
      </c>
    </row>
    <row r="265" spans="2:12" x14ac:dyDescent="0.25">
      <c r="B265" s="48">
        <f>+BOTICA!G263</f>
        <v>0</v>
      </c>
      <c r="C265" s="49">
        <f>+BOTICA!B263</f>
        <v>0</v>
      </c>
      <c r="D265" s="50">
        <f>+BOTICA!M263</f>
        <v>0</v>
      </c>
      <c r="F265" s="49">
        <f>+BOTICA!C263</f>
        <v>0</v>
      </c>
      <c r="G265" s="51">
        <f>+BOTICA!A263</f>
        <v>0</v>
      </c>
      <c r="H265" s="49">
        <f>+BOTICA!H263</f>
        <v>0</v>
      </c>
      <c r="I265" s="49">
        <f>+BOTICA!R263</f>
        <v>0</v>
      </c>
      <c r="K265" s="49" t="str">
        <f t="shared" si="8"/>
        <v>0</v>
      </c>
      <c r="L265" s="49" t="str">
        <f t="shared" si="9"/>
        <v>0 -0</v>
      </c>
    </row>
    <row r="266" spans="2:12" x14ac:dyDescent="0.25">
      <c r="B266" s="48">
        <f>+BOTICA!G264</f>
        <v>0</v>
      </c>
      <c r="C266" s="49">
        <f>+BOTICA!B264</f>
        <v>0</v>
      </c>
      <c r="D266" s="50">
        <f>+BOTICA!M264</f>
        <v>0</v>
      </c>
      <c r="F266" s="49">
        <f>+BOTICA!C264</f>
        <v>0</v>
      </c>
      <c r="G266" s="51">
        <f>+BOTICA!A264</f>
        <v>0</v>
      </c>
      <c r="H266" s="49">
        <f>+BOTICA!H264</f>
        <v>0</v>
      </c>
      <c r="I266" s="49">
        <f>+BOTICA!R264</f>
        <v>0</v>
      </c>
      <c r="K266" s="49" t="str">
        <f t="shared" si="8"/>
        <v>0</v>
      </c>
      <c r="L266" s="49" t="str">
        <f t="shared" si="9"/>
        <v>0 -0</v>
      </c>
    </row>
    <row r="267" spans="2:12" x14ac:dyDescent="0.25">
      <c r="B267" s="48">
        <f>+BOTICA!G265</f>
        <v>0</v>
      </c>
      <c r="C267" s="49">
        <f>+BOTICA!B265</f>
        <v>0</v>
      </c>
      <c r="D267" s="50">
        <f>+BOTICA!M265</f>
        <v>0</v>
      </c>
      <c r="F267" s="49">
        <f>+BOTICA!C265</f>
        <v>0</v>
      </c>
      <c r="G267" s="51">
        <f>+BOTICA!A265</f>
        <v>0</v>
      </c>
      <c r="H267" s="49">
        <f>+BOTICA!H265</f>
        <v>0</v>
      </c>
      <c r="I267" s="49">
        <f>+BOTICA!R265</f>
        <v>0</v>
      </c>
      <c r="K267" s="49" t="str">
        <f t="shared" si="8"/>
        <v>0</v>
      </c>
      <c r="L267" s="49" t="str">
        <f t="shared" si="9"/>
        <v>0 -0</v>
      </c>
    </row>
    <row r="268" spans="2:12" x14ac:dyDescent="0.25">
      <c r="B268" s="48">
        <f>+BOTICA!G266</f>
        <v>0</v>
      </c>
      <c r="C268" s="49">
        <f>+BOTICA!B266</f>
        <v>0</v>
      </c>
      <c r="D268" s="50">
        <f>+BOTICA!M266</f>
        <v>0</v>
      </c>
      <c r="F268" s="49">
        <f>+BOTICA!C266</f>
        <v>0</v>
      </c>
      <c r="G268" s="51">
        <f>+BOTICA!A266</f>
        <v>0</v>
      </c>
      <c r="H268" s="49">
        <f>+BOTICA!H266</f>
        <v>0</v>
      </c>
      <c r="I268" s="49">
        <f>+BOTICA!R266</f>
        <v>0</v>
      </c>
      <c r="K268" s="49" t="str">
        <f t="shared" si="8"/>
        <v>0</v>
      </c>
      <c r="L268" s="49" t="str">
        <f t="shared" si="9"/>
        <v>0 -0</v>
      </c>
    </row>
    <row r="269" spans="2:12" x14ac:dyDescent="0.25">
      <c r="B269" s="48">
        <f>+BOTICA!G267</f>
        <v>0</v>
      </c>
      <c r="C269" s="49">
        <f>+BOTICA!B267</f>
        <v>0</v>
      </c>
      <c r="D269" s="50">
        <f>+BOTICA!M267</f>
        <v>0</v>
      </c>
      <c r="F269" s="49">
        <f>+BOTICA!C267</f>
        <v>0</v>
      </c>
      <c r="G269" s="51">
        <f>+BOTICA!A267</f>
        <v>0</v>
      </c>
      <c r="H269" s="49">
        <f>+BOTICA!H267</f>
        <v>0</v>
      </c>
      <c r="I269" s="49">
        <f>+BOTICA!R267</f>
        <v>0</v>
      </c>
      <c r="K269" s="49" t="str">
        <f t="shared" si="8"/>
        <v>0</v>
      </c>
      <c r="L269" s="49" t="str">
        <f t="shared" si="9"/>
        <v>0 -0</v>
      </c>
    </row>
    <row r="270" spans="2:12" x14ac:dyDescent="0.25">
      <c r="B270" s="48">
        <f>+BOTICA!G268</f>
        <v>0</v>
      </c>
      <c r="C270" s="49">
        <f>+BOTICA!B268</f>
        <v>0</v>
      </c>
      <c r="D270" s="50">
        <f>+BOTICA!M268</f>
        <v>0</v>
      </c>
      <c r="F270" s="49">
        <f>+BOTICA!C268</f>
        <v>0</v>
      </c>
      <c r="G270" s="51">
        <f>+BOTICA!A268</f>
        <v>0</v>
      </c>
      <c r="H270" s="49">
        <f>+BOTICA!H268</f>
        <v>0</v>
      </c>
      <c r="I270" s="49">
        <f>+BOTICA!R268</f>
        <v>0</v>
      </c>
      <c r="K270" s="49" t="str">
        <f t="shared" si="8"/>
        <v>0</v>
      </c>
      <c r="L270" s="49" t="str">
        <f t="shared" si="9"/>
        <v>0 -0</v>
      </c>
    </row>
    <row r="271" spans="2:12" x14ac:dyDescent="0.25">
      <c r="B271" s="48">
        <f>+BOTICA!G269</f>
        <v>0</v>
      </c>
      <c r="C271" s="49">
        <f>+BOTICA!B269</f>
        <v>0</v>
      </c>
      <c r="D271" s="50">
        <f>+BOTICA!M269</f>
        <v>0</v>
      </c>
      <c r="F271" s="49">
        <f>+BOTICA!C269</f>
        <v>0</v>
      </c>
      <c r="G271" s="51">
        <f>+BOTICA!A269</f>
        <v>0</v>
      </c>
      <c r="H271" s="49">
        <f>+BOTICA!H269</f>
        <v>0</v>
      </c>
      <c r="I271" s="49">
        <f>+BOTICA!R269</f>
        <v>0</v>
      </c>
      <c r="K271" s="49" t="str">
        <f t="shared" si="8"/>
        <v>0</v>
      </c>
      <c r="L271" s="49" t="str">
        <f t="shared" si="9"/>
        <v>0 -0</v>
      </c>
    </row>
    <row r="272" spans="2:12" x14ac:dyDescent="0.25">
      <c r="B272" s="48">
        <f>+BOTICA!G270</f>
        <v>0</v>
      </c>
      <c r="C272" s="49">
        <f>+BOTICA!B270</f>
        <v>0</v>
      </c>
      <c r="D272" s="50">
        <f>+BOTICA!M270</f>
        <v>0</v>
      </c>
      <c r="F272" s="49">
        <f>+BOTICA!C270</f>
        <v>0</v>
      </c>
      <c r="G272" s="51">
        <f>+BOTICA!A270</f>
        <v>0</v>
      </c>
      <c r="H272" s="49">
        <f>+BOTICA!H270</f>
        <v>0</v>
      </c>
      <c r="I272" s="49">
        <f>+BOTICA!R270</f>
        <v>0</v>
      </c>
      <c r="K272" s="49" t="str">
        <f t="shared" si="8"/>
        <v>0</v>
      </c>
      <c r="L272" s="49" t="str">
        <f t="shared" si="9"/>
        <v>0 -0</v>
      </c>
    </row>
    <row r="273" spans="2:12" x14ac:dyDescent="0.25">
      <c r="B273" s="48">
        <f>+BOTICA!G271</f>
        <v>0</v>
      </c>
      <c r="C273" s="49">
        <f>+BOTICA!B271</f>
        <v>0</v>
      </c>
      <c r="D273" s="50">
        <f>+BOTICA!M271</f>
        <v>0</v>
      </c>
      <c r="F273" s="49">
        <f>+BOTICA!C271</f>
        <v>0</v>
      </c>
      <c r="G273" s="51">
        <f>+BOTICA!A271</f>
        <v>0</v>
      </c>
      <c r="H273" s="49">
        <f>+BOTICA!H271</f>
        <v>0</v>
      </c>
      <c r="I273" s="49">
        <f>+BOTICA!R271</f>
        <v>0</v>
      </c>
      <c r="K273" s="49" t="str">
        <f t="shared" si="8"/>
        <v>0</v>
      </c>
      <c r="L273" s="49" t="str">
        <f t="shared" si="9"/>
        <v>0 -0</v>
      </c>
    </row>
    <row r="274" spans="2:12" x14ac:dyDescent="0.25">
      <c r="B274" s="48">
        <f>+BOTICA!G272</f>
        <v>0</v>
      </c>
      <c r="C274" s="49">
        <f>+BOTICA!B272</f>
        <v>0</v>
      </c>
      <c r="D274" s="50">
        <f>+BOTICA!M272</f>
        <v>0</v>
      </c>
      <c r="F274" s="49">
        <f>+BOTICA!C272</f>
        <v>0</v>
      </c>
      <c r="G274" s="51">
        <f>+BOTICA!A272</f>
        <v>0</v>
      </c>
      <c r="H274" s="49">
        <f>+BOTICA!H272</f>
        <v>0</v>
      </c>
      <c r="I274" s="49">
        <f>+BOTICA!R272</f>
        <v>0</v>
      </c>
      <c r="K274" s="49" t="str">
        <f t="shared" si="8"/>
        <v>0</v>
      </c>
      <c r="L274" s="49" t="str">
        <f t="shared" si="9"/>
        <v>0 -0</v>
      </c>
    </row>
    <row r="275" spans="2:12" x14ac:dyDescent="0.25">
      <c r="B275" s="48">
        <f>+BOTICA!G273</f>
        <v>0</v>
      </c>
      <c r="C275" s="49">
        <f>+BOTICA!B273</f>
        <v>0</v>
      </c>
      <c r="D275" s="50">
        <f>+BOTICA!M273</f>
        <v>0</v>
      </c>
      <c r="F275" s="49">
        <f>+BOTICA!C273</f>
        <v>0</v>
      </c>
      <c r="G275" s="51">
        <f>+BOTICA!A273</f>
        <v>0</v>
      </c>
      <c r="H275" s="49">
        <f>+BOTICA!H273</f>
        <v>0</v>
      </c>
      <c r="I275" s="49">
        <f>+BOTICA!R273</f>
        <v>0</v>
      </c>
      <c r="K275" s="49" t="str">
        <f t="shared" si="8"/>
        <v>0</v>
      </c>
      <c r="L275" s="49" t="str">
        <f t="shared" si="9"/>
        <v>0 -0</v>
      </c>
    </row>
    <row r="276" spans="2:12" x14ac:dyDescent="0.25">
      <c r="B276" s="48">
        <f>+BOTICA!G274</f>
        <v>0</v>
      </c>
      <c r="C276" s="49">
        <f>+BOTICA!B274</f>
        <v>0</v>
      </c>
      <c r="D276" s="50">
        <f>+BOTICA!M274</f>
        <v>0</v>
      </c>
      <c r="F276" s="49">
        <f>+BOTICA!C274</f>
        <v>0</v>
      </c>
      <c r="G276" s="51">
        <f>+BOTICA!A274</f>
        <v>0</v>
      </c>
      <c r="H276" s="49">
        <f>+BOTICA!H274</f>
        <v>0</v>
      </c>
      <c r="I276" s="49">
        <f>+BOTICA!R274</f>
        <v>0</v>
      </c>
      <c r="K276" s="49" t="str">
        <f t="shared" si="8"/>
        <v>0</v>
      </c>
      <c r="L276" s="49" t="str">
        <f t="shared" si="9"/>
        <v>0 -0</v>
      </c>
    </row>
    <row r="277" spans="2:12" x14ac:dyDescent="0.25">
      <c r="B277" s="48">
        <f>+BOTICA!G275</f>
        <v>0</v>
      </c>
      <c r="C277" s="49">
        <f>+BOTICA!B275</f>
        <v>0</v>
      </c>
      <c r="D277" s="50">
        <f>+BOTICA!M275</f>
        <v>0</v>
      </c>
      <c r="F277" s="49">
        <f>+BOTICA!C275</f>
        <v>0</v>
      </c>
      <c r="G277" s="51">
        <f>+BOTICA!A275</f>
        <v>0</v>
      </c>
      <c r="H277" s="49">
        <f>+BOTICA!H275</f>
        <v>0</v>
      </c>
      <c r="I277" s="49">
        <f>+BOTICA!R275</f>
        <v>0</v>
      </c>
      <c r="K277" s="49" t="str">
        <f t="shared" si="8"/>
        <v>0</v>
      </c>
      <c r="L277" s="49" t="str">
        <f t="shared" si="9"/>
        <v>0 -0</v>
      </c>
    </row>
    <row r="278" spans="2:12" x14ac:dyDescent="0.25">
      <c r="B278" s="48">
        <f>+BOTICA!G276</f>
        <v>0</v>
      </c>
      <c r="C278" s="49">
        <f>+BOTICA!B276</f>
        <v>0</v>
      </c>
      <c r="D278" s="50">
        <f>+BOTICA!M276</f>
        <v>0</v>
      </c>
      <c r="F278" s="49">
        <f>+BOTICA!C276</f>
        <v>0</v>
      </c>
      <c r="G278" s="51">
        <f>+BOTICA!A276</f>
        <v>0</v>
      </c>
      <c r="H278" s="49">
        <f>+BOTICA!H276</f>
        <v>0</v>
      </c>
      <c r="I278" s="49">
        <f>+BOTICA!R276</f>
        <v>0</v>
      </c>
      <c r="K278" s="49" t="str">
        <f t="shared" si="8"/>
        <v>0</v>
      </c>
      <c r="L278" s="49" t="str">
        <f t="shared" si="9"/>
        <v>0 -0</v>
      </c>
    </row>
    <row r="279" spans="2:12" x14ac:dyDescent="0.25">
      <c r="B279" s="48">
        <f>+BOTICA!G277</f>
        <v>0</v>
      </c>
      <c r="C279" s="49">
        <f>+BOTICA!B277</f>
        <v>0</v>
      </c>
      <c r="D279" s="50">
        <f>+BOTICA!M277</f>
        <v>0</v>
      </c>
      <c r="F279" s="49">
        <f>+BOTICA!C277</f>
        <v>0</v>
      </c>
      <c r="G279" s="51">
        <f>+BOTICA!A277</f>
        <v>0</v>
      </c>
      <c r="H279" s="49">
        <f>+BOTICA!H277</f>
        <v>0</v>
      </c>
      <c r="I279" s="49">
        <f>+BOTICA!R277</f>
        <v>0</v>
      </c>
      <c r="K279" s="49" t="str">
        <f t="shared" si="8"/>
        <v>0</v>
      </c>
      <c r="L279" s="49" t="str">
        <f t="shared" si="9"/>
        <v>0 -0</v>
      </c>
    </row>
    <row r="280" spans="2:12" x14ac:dyDescent="0.25">
      <c r="B280" s="48">
        <f>+BOTICA!G278</f>
        <v>0</v>
      </c>
      <c r="C280" s="49">
        <f>+BOTICA!B278</f>
        <v>0</v>
      </c>
      <c r="D280" s="50">
        <f>+BOTICA!M278</f>
        <v>0</v>
      </c>
      <c r="F280" s="49">
        <f>+BOTICA!C278</f>
        <v>0</v>
      </c>
      <c r="G280" s="51">
        <f>+BOTICA!A278</f>
        <v>0</v>
      </c>
      <c r="H280" s="49">
        <f>+BOTICA!H278</f>
        <v>0</v>
      </c>
      <c r="I280" s="49">
        <f>+BOTICA!R278</f>
        <v>0</v>
      </c>
      <c r="K280" s="49" t="str">
        <f t="shared" si="8"/>
        <v>0</v>
      </c>
      <c r="L280" s="49" t="str">
        <f t="shared" si="9"/>
        <v>0 -0</v>
      </c>
    </row>
    <row r="281" spans="2:12" x14ac:dyDescent="0.25">
      <c r="B281" s="48">
        <f>+BOTICA!G279</f>
        <v>0</v>
      </c>
      <c r="C281" s="49">
        <f>+BOTICA!B279</f>
        <v>0</v>
      </c>
      <c r="D281" s="50">
        <f>+BOTICA!M279</f>
        <v>0</v>
      </c>
      <c r="F281" s="49">
        <f>+BOTICA!C279</f>
        <v>0</v>
      </c>
      <c r="G281" s="51">
        <f>+BOTICA!A279</f>
        <v>0</v>
      </c>
      <c r="H281" s="49">
        <f>+BOTICA!H279</f>
        <v>0</v>
      </c>
      <c r="I281" s="49">
        <f>+BOTICA!R279</f>
        <v>0</v>
      </c>
      <c r="K281" s="49" t="str">
        <f t="shared" si="8"/>
        <v>0</v>
      </c>
      <c r="L281" s="49" t="str">
        <f t="shared" si="9"/>
        <v>0 -0</v>
      </c>
    </row>
    <row r="282" spans="2:12" x14ac:dyDescent="0.25">
      <c r="B282" s="48">
        <f>+BOTICA!G280</f>
        <v>0</v>
      </c>
      <c r="C282" s="49">
        <f>+BOTICA!B280</f>
        <v>0</v>
      </c>
      <c r="D282" s="50">
        <f>+BOTICA!M280</f>
        <v>0</v>
      </c>
      <c r="F282" s="49">
        <f>+BOTICA!C280</f>
        <v>0</v>
      </c>
      <c r="G282" s="51">
        <f>+BOTICA!A280</f>
        <v>0</v>
      </c>
      <c r="H282" s="49">
        <f>+BOTICA!H280</f>
        <v>0</v>
      </c>
      <c r="I282" s="49">
        <f>+BOTICA!R280</f>
        <v>0</v>
      </c>
      <c r="K282" s="49" t="str">
        <f t="shared" si="8"/>
        <v>0</v>
      </c>
      <c r="L282" s="49" t="str">
        <f t="shared" si="9"/>
        <v>0 -0</v>
      </c>
    </row>
    <row r="283" spans="2:12" x14ac:dyDescent="0.25">
      <c r="B283" s="48">
        <f>+BOTICA!G281</f>
        <v>0</v>
      </c>
      <c r="C283" s="49">
        <f>+BOTICA!B281</f>
        <v>0</v>
      </c>
      <c r="D283" s="50">
        <f>+BOTICA!M281</f>
        <v>0</v>
      </c>
      <c r="F283" s="49">
        <f>+BOTICA!C281</f>
        <v>0</v>
      </c>
      <c r="G283" s="51">
        <f>+BOTICA!A281</f>
        <v>0</v>
      </c>
      <c r="H283" s="49">
        <f>+BOTICA!H281</f>
        <v>0</v>
      </c>
      <c r="I283" s="49">
        <f>+BOTICA!R281</f>
        <v>0</v>
      </c>
      <c r="K283" s="49" t="str">
        <f t="shared" si="8"/>
        <v>0</v>
      </c>
      <c r="L283" s="49" t="str">
        <f t="shared" si="9"/>
        <v>0 -0</v>
      </c>
    </row>
    <row r="284" spans="2:12" x14ac:dyDescent="0.25">
      <c r="B284" s="48">
        <f>+BOTICA!G282</f>
        <v>0</v>
      </c>
      <c r="C284" s="49">
        <f>+BOTICA!B282</f>
        <v>0</v>
      </c>
      <c r="D284" s="50">
        <f>+BOTICA!M282</f>
        <v>0</v>
      </c>
      <c r="F284" s="49">
        <f>+BOTICA!C282</f>
        <v>0</v>
      </c>
      <c r="G284" s="51">
        <f>+BOTICA!A282</f>
        <v>0</v>
      </c>
      <c r="H284" s="49">
        <f>+BOTICA!H282</f>
        <v>0</v>
      </c>
      <c r="I284" s="49">
        <f>+BOTICA!R282</f>
        <v>0</v>
      </c>
      <c r="K284" s="49" t="str">
        <f t="shared" si="8"/>
        <v>0</v>
      </c>
      <c r="L284" s="49" t="str">
        <f t="shared" si="9"/>
        <v>0 -0</v>
      </c>
    </row>
    <row r="285" spans="2:12" x14ac:dyDescent="0.25">
      <c r="B285" s="48">
        <f>+BOTICA!G283</f>
        <v>0</v>
      </c>
      <c r="C285" s="49">
        <f>+BOTICA!B283</f>
        <v>0</v>
      </c>
      <c r="D285" s="50">
        <f>+BOTICA!M283</f>
        <v>0</v>
      </c>
      <c r="F285" s="49">
        <f>+BOTICA!C283</f>
        <v>0</v>
      </c>
      <c r="G285" s="51">
        <f>+BOTICA!A283</f>
        <v>0</v>
      </c>
      <c r="H285" s="49">
        <f>+BOTICA!H283</f>
        <v>0</v>
      </c>
      <c r="I285" s="49">
        <f>+BOTICA!R283</f>
        <v>0</v>
      </c>
      <c r="K285" s="49" t="str">
        <f t="shared" si="8"/>
        <v>0</v>
      </c>
      <c r="L285" s="49" t="str">
        <f t="shared" si="9"/>
        <v>0 -0</v>
      </c>
    </row>
    <row r="286" spans="2:12" x14ac:dyDescent="0.25">
      <c r="B286" s="48">
        <f>+BOTICA!G284</f>
        <v>0</v>
      </c>
      <c r="C286" s="49">
        <f>+BOTICA!B284</f>
        <v>0</v>
      </c>
      <c r="D286" s="50">
        <f>+BOTICA!M284</f>
        <v>0</v>
      </c>
      <c r="F286" s="49">
        <f>+BOTICA!C284</f>
        <v>0</v>
      </c>
      <c r="G286" s="51">
        <f>+BOTICA!A284</f>
        <v>0</v>
      </c>
      <c r="H286" s="49">
        <f>+BOTICA!H284</f>
        <v>0</v>
      </c>
      <c r="I286" s="49">
        <f>+BOTICA!R284</f>
        <v>0</v>
      </c>
      <c r="K286" s="49" t="str">
        <f t="shared" si="8"/>
        <v>0</v>
      </c>
      <c r="L286" s="49" t="str">
        <f t="shared" si="9"/>
        <v>0 -0</v>
      </c>
    </row>
    <row r="287" spans="2:12" x14ac:dyDescent="0.25">
      <c r="B287" s="48">
        <f>+BOTICA!G285</f>
        <v>0</v>
      </c>
      <c r="C287" s="49">
        <f>+BOTICA!B285</f>
        <v>0</v>
      </c>
      <c r="D287" s="50">
        <f>+BOTICA!M285</f>
        <v>0</v>
      </c>
      <c r="F287" s="49">
        <f>+BOTICA!C285</f>
        <v>0</v>
      </c>
      <c r="G287" s="51">
        <f>+BOTICA!A285</f>
        <v>0</v>
      </c>
      <c r="H287" s="49">
        <f>+BOTICA!H285</f>
        <v>0</v>
      </c>
      <c r="I287" s="49">
        <f>+BOTICA!R285</f>
        <v>0</v>
      </c>
      <c r="K287" s="49" t="str">
        <f t="shared" si="8"/>
        <v>0</v>
      </c>
      <c r="L287" s="49" t="str">
        <f t="shared" si="9"/>
        <v>0 -0</v>
      </c>
    </row>
    <row r="288" spans="2:12" x14ac:dyDescent="0.25">
      <c r="B288" s="48">
        <f>+BOTICA!G286</f>
        <v>0</v>
      </c>
      <c r="C288" s="49">
        <f>+BOTICA!B286</f>
        <v>0</v>
      </c>
      <c r="D288" s="50">
        <f>+BOTICA!M286</f>
        <v>0</v>
      </c>
      <c r="F288" s="49">
        <f>+BOTICA!C286</f>
        <v>0</v>
      </c>
      <c r="G288" s="51">
        <f>+BOTICA!A286</f>
        <v>0</v>
      </c>
      <c r="H288" s="49">
        <f>+BOTICA!H286</f>
        <v>0</v>
      </c>
      <c r="I288" s="49">
        <f>+BOTICA!R286</f>
        <v>0</v>
      </c>
      <c r="K288" s="49" t="str">
        <f t="shared" si="8"/>
        <v>0</v>
      </c>
      <c r="L288" s="49" t="str">
        <f t="shared" si="9"/>
        <v>0 -0</v>
      </c>
    </row>
    <row r="289" spans="2:12" x14ac:dyDescent="0.25">
      <c r="B289" s="48">
        <f>+BOTICA!G287</f>
        <v>0</v>
      </c>
      <c r="C289" s="49">
        <f>+BOTICA!B287</f>
        <v>0</v>
      </c>
      <c r="D289" s="50">
        <f>+BOTICA!M287</f>
        <v>0</v>
      </c>
      <c r="F289" s="49">
        <f>+BOTICA!C287</f>
        <v>0</v>
      </c>
      <c r="G289" s="51">
        <f>+BOTICA!A287</f>
        <v>0</v>
      </c>
      <c r="H289" s="49">
        <f>+BOTICA!H287</f>
        <v>0</v>
      </c>
      <c r="I289" s="49">
        <f>+BOTICA!R287</f>
        <v>0</v>
      </c>
      <c r="K289" s="49" t="str">
        <f t="shared" si="8"/>
        <v>0</v>
      </c>
      <c r="L289" s="49" t="str">
        <f t="shared" si="9"/>
        <v>0 -0</v>
      </c>
    </row>
    <row r="290" spans="2:12" x14ac:dyDescent="0.25">
      <c r="B290" s="48">
        <f>+BOTICA!G288</f>
        <v>0</v>
      </c>
      <c r="C290" s="49">
        <f>+BOTICA!B288</f>
        <v>0</v>
      </c>
      <c r="D290" s="50">
        <f>+BOTICA!M288</f>
        <v>0</v>
      </c>
      <c r="F290" s="49">
        <f>+BOTICA!C288</f>
        <v>0</v>
      </c>
      <c r="G290" s="51">
        <f>+BOTICA!A288</f>
        <v>0</v>
      </c>
      <c r="H290" s="49">
        <f>+BOTICA!H288</f>
        <v>0</v>
      </c>
      <c r="I290" s="49">
        <f>+BOTICA!R288</f>
        <v>0</v>
      </c>
      <c r="K290" s="49" t="str">
        <f t="shared" si="8"/>
        <v>0</v>
      </c>
      <c r="L290" s="49" t="str">
        <f t="shared" si="9"/>
        <v>0 -0</v>
      </c>
    </row>
  </sheetData>
  <autoFilter ref="A3:M290" xr:uid="{FD610F13-7A77-45D5-BC98-622C81E19F67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9BD08-AFE6-47E9-B54E-56C38B05301D}">
  <dimension ref="A1:A9"/>
  <sheetViews>
    <sheetView workbookViewId="0">
      <selection activeCell="C10" sqref="C10"/>
    </sheetView>
  </sheetViews>
  <sheetFormatPr baseColWidth="10" defaultRowHeight="15" x14ac:dyDescent="0.25"/>
  <cols>
    <col min="1" max="1" width="27.140625" bestFit="1" customWidth="1"/>
  </cols>
  <sheetData>
    <row r="1" spans="1:1" x14ac:dyDescent="0.25">
      <c r="A1" t="s">
        <v>1223</v>
      </c>
    </row>
    <row r="3" spans="1:1" x14ac:dyDescent="0.25">
      <c r="A3" t="s">
        <v>1224</v>
      </c>
    </row>
    <row r="4" spans="1:1" x14ac:dyDescent="0.25">
      <c r="A4">
        <v>20507801634</v>
      </c>
    </row>
    <row r="5" spans="1:1" x14ac:dyDescent="0.25">
      <c r="A5">
        <v>654321</v>
      </c>
    </row>
    <row r="7" spans="1:1" x14ac:dyDescent="0.25">
      <c r="A7" t="s">
        <v>1225</v>
      </c>
    </row>
    <row r="8" spans="1:1" x14ac:dyDescent="0.25">
      <c r="A8">
        <v>20546008879</v>
      </c>
    </row>
    <row r="9" spans="1:1" x14ac:dyDescent="0.25">
      <c r="A9">
        <v>654321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YLV</vt:lpstr>
      <vt:lpstr>YLV-zipay</vt:lpstr>
      <vt:lpstr>BOTICA</vt:lpstr>
      <vt:lpstr>Izpay - Botica</vt:lpstr>
      <vt:lpstr>Cla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Asistente de Gerencia</dc:creator>
  <cp:lastModifiedBy>Asistente de Gerencia</cp:lastModifiedBy>
  <dcterms:created xsi:type="dcterms:W3CDTF">2026-03-19T22:24:13Z</dcterms:created>
  <dcterms:modified xsi:type="dcterms:W3CDTF">2026-03-19T23:10:25Z</dcterms:modified>
</cp:coreProperties>
</file>